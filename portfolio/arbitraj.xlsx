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645" windowWidth="22500" windowHeight="14355" firstSheet="1" activeTab="1"/>
  </bookViews>
  <sheets>
    <sheet name="Лист1" sheetId="3" state="hidden" r:id="rId1"/>
    <sheet name="Дела" sheetId="2" r:id="rId2"/>
    <sheet name="Рассылка" sheetId="4" r:id="rId3"/>
  </sheets>
  <definedNames>
    <definedName name="_xlnm._FilterDatabase" localSheetId="1" hidden="1">Дела!$A$1:$W$1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1" i="2" l="1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4" l="1"/>
  <c r="B3" i="4"/>
  <c r="C3" i="4"/>
  <c r="D3" i="4"/>
  <c r="F3" i="4"/>
  <c r="G3" i="4"/>
  <c r="H3" i="4"/>
  <c r="E3" i="4" s="1"/>
  <c r="A4" i="4"/>
  <c r="B4" i="4"/>
  <c r="C4" i="4"/>
  <c r="D4" i="4"/>
  <c r="F4" i="4"/>
  <c r="G4" i="4"/>
  <c r="H4" i="4"/>
  <c r="E4" i="4" s="1"/>
  <c r="A5" i="4"/>
  <c r="B5" i="4"/>
  <c r="C5" i="4"/>
  <c r="D5" i="4"/>
  <c r="F5" i="4"/>
  <c r="G5" i="4"/>
  <c r="H5" i="4"/>
  <c r="E5" i="4" s="1"/>
  <c r="A6" i="4"/>
  <c r="B6" i="4"/>
  <c r="C6" i="4"/>
  <c r="D6" i="4"/>
  <c r="F6" i="4"/>
  <c r="G6" i="4"/>
  <c r="H6" i="4"/>
  <c r="E6" i="4" s="1"/>
  <c r="A7" i="4"/>
  <c r="B7" i="4"/>
  <c r="C7" i="4"/>
  <c r="D7" i="4"/>
  <c r="F7" i="4"/>
  <c r="G7" i="4"/>
  <c r="H7" i="4"/>
  <c r="E7" i="4" s="1"/>
  <c r="A8" i="4"/>
  <c r="B8" i="4"/>
  <c r="C8" i="4"/>
  <c r="D8" i="4"/>
  <c r="F8" i="4"/>
  <c r="G8" i="4"/>
  <c r="H8" i="4"/>
  <c r="E8" i="4" s="1"/>
  <c r="A9" i="4"/>
  <c r="B9" i="4"/>
  <c r="C9" i="4"/>
  <c r="D9" i="4"/>
  <c r="F9" i="4"/>
  <c r="G9" i="4"/>
  <c r="H9" i="4"/>
  <c r="E9" i="4" s="1"/>
  <c r="A10" i="4"/>
  <c r="B10" i="4"/>
  <c r="C10" i="4"/>
  <c r="D10" i="4"/>
  <c r="F10" i="4"/>
  <c r="G10" i="4"/>
  <c r="H10" i="4"/>
  <c r="E10" i="4" s="1"/>
  <c r="A11" i="4"/>
  <c r="B11" i="4"/>
  <c r="C11" i="4"/>
  <c r="D11" i="4"/>
  <c r="F11" i="4"/>
  <c r="G11" i="4"/>
  <c r="H11" i="4"/>
  <c r="E11" i="4" s="1"/>
  <c r="A12" i="4"/>
  <c r="B12" i="4"/>
  <c r="C12" i="4"/>
  <c r="D12" i="4"/>
  <c r="F12" i="4"/>
  <c r="G12" i="4"/>
  <c r="H12" i="4"/>
  <c r="E12" i="4" s="1"/>
  <c r="A13" i="4"/>
  <c r="B13" i="4"/>
  <c r="C13" i="4"/>
  <c r="D13" i="4"/>
  <c r="F13" i="4"/>
  <c r="G13" i="4"/>
  <c r="H13" i="4"/>
  <c r="E13" i="4" s="1"/>
  <c r="A14" i="4"/>
  <c r="B14" i="4"/>
  <c r="C14" i="4"/>
  <c r="D14" i="4"/>
  <c r="F14" i="4"/>
  <c r="G14" i="4"/>
  <c r="H14" i="4"/>
  <c r="E14" i="4" s="1"/>
  <c r="A15" i="4"/>
  <c r="B15" i="4"/>
  <c r="C15" i="4"/>
  <c r="D15" i="4"/>
  <c r="F15" i="4"/>
  <c r="G15" i="4"/>
  <c r="H15" i="4"/>
  <c r="E15" i="4" s="1"/>
  <c r="A16" i="4"/>
  <c r="B16" i="4"/>
  <c r="C16" i="4"/>
  <c r="D16" i="4"/>
  <c r="F16" i="4"/>
  <c r="G16" i="4"/>
  <c r="H16" i="4"/>
  <c r="E16" i="4" s="1"/>
  <c r="A17" i="4"/>
  <c r="B17" i="4"/>
  <c r="C17" i="4"/>
  <c r="D17" i="4"/>
  <c r="F17" i="4"/>
  <c r="G17" i="4"/>
  <c r="H17" i="4"/>
  <c r="E17" i="4" s="1"/>
  <c r="A18" i="4"/>
  <c r="B18" i="4"/>
  <c r="C18" i="4"/>
  <c r="D18" i="4"/>
  <c r="F18" i="4"/>
  <c r="G18" i="4"/>
  <c r="H18" i="4"/>
  <c r="E18" i="4" s="1"/>
  <c r="A19" i="4"/>
  <c r="B19" i="4"/>
  <c r="C19" i="4"/>
  <c r="D19" i="4"/>
  <c r="F19" i="4"/>
  <c r="G19" i="4"/>
  <c r="H19" i="4"/>
  <c r="E19" i="4" s="1"/>
  <c r="A20" i="4"/>
  <c r="B20" i="4"/>
  <c r="C20" i="4"/>
  <c r="D20" i="4"/>
  <c r="F20" i="4"/>
  <c r="G20" i="4"/>
  <c r="H20" i="4"/>
  <c r="E20" i="4" s="1"/>
  <c r="A21" i="4"/>
  <c r="B21" i="4"/>
  <c r="C21" i="4"/>
  <c r="D21" i="4"/>
  <c r="F21" i="4"/>
  <c r="G21" i="4"/>
  <c r="H21" i="4"/>
  <c r="E21" i="4" s="1"/>
  <c r="A22" i="4"/>
  <c r="B22" i="4"/>
  <c r="C22" i="4"/>
  <c r="D22" i="4"/>
  <c r="F22" i="4"/>
  <c r="G22" i="4"/>
  <c r="H22" i="4"/>
  <c r="E22" i="4" s="1"/>
  <c r="A23" i="4"/>
  <c r="B23" i="4"/>
  <c r="C23" i="4"/>
  <c r="D23" i="4"/>
  <c r="F23" i="4"/>
  <c r="G23" i="4"/>
  <c r="H23" i="4"/>
  <c r="E23" i="4" s="1"/>
  <c r="A24" i="4"/>
  <c r="B24" i="4"/>
  <c r="C24" i="4"/>
  <c r="D24" i="4"/>
  <c r="F24" i="4"/>
  <c r="G24" i="4"/>
  <c r="H24" i="4"/>
  <c r="E24" i="4" s="1"/>
  <c r="A25" i="4"/>
  <c r="B25" i="4"/>
  <c r="C25" i="4"/>
  <c r="D25" i="4"/>
  <c r="F25" i="4"/>
  <c r="G25" i="4"/>
  <c r="H25" i="4"/>
  <c r="E25" i="4" s="1"/>
  <c r="A26" i="4"/>
  <c r="B26" i="4"/>
  <c r="C26" i="4"/>
  <c r="D26" i="4"/>
  <c r="F26" i="4"/>
  <c r="G26" i="4"/>
  <c r="H26" i="4"/>
  <c r="E26" i="4" s="1"/>
  <c r="A27" i="4"/>
  <c r="B27" i="4"/>
  <c r="C27" i="4"/>
  <c r="D27" i="4"/>
  <c r="F27" i="4"/>
  <c r="G27" i="4"/>
  <c r="H27" i="4"/>
  <c r="E27" i="4" s="1"/>
  <c r="A28" i="4"/>
  <c r="B28" i="4"/>
  <c r="C28" i="4"/>
  <c r="D28" i="4"/>
  <c r="F28" i="4"/>
  <c r="G28" i="4"/>
  <c r="H28" i="4"/>
  <c r="E28" i="4" s="1"/>
  <c r="A29" i="4"/>
  <c r="B29" i="4"/>
  <c r="C29" i="4"/>
  <c r="D29" i="4"/>
  <c r="F29" i="4"/>
  <c r="G29" i="4"/>
  <c r="H29" i="4"/>
  <c r="E29" i="4" s="1"/>
  <c r="A30" i="4"/>
  <c r="B30" i="4"/>
  <c r="C30" i="4"/>
  <c r="D30" i="4"/>
  <c r="F30" i="4"/>
  <c r="G30" i="4"/>
  <c r="H30" i="4"/>
  <c r="E30" i="4" s="1"/>
  <c r="A31" i="4"/>
  <c r="B31" i="4"/>
  <c r="C31" i="4"/>
  <c r="D31" i="4"/>
  <c r="F31" i="4"/>
  <c r="G31" i="4"/>
  <c r="H31" i="4"/>
  <c r="E31" i="4" s="1"/>
  <c r="A32" i="4"/>
  <c r="B32" i="4"/>
  <c r="C32" i="4"/>
  <c r="D32" i="4"/>
  <c r="F32" i="4"/>
  <c r="G32" i="4"/>
  <c r="H32" i="4"/>
  <c r="E32" i="4" s="1"/>
  <c r="A33" i="4"/>
  <c r="B33" i="4"/>
  <c r="C33" i="4"/>
  <c r="D33" i="4"/>
  <c r="F33" i="4"/>
  <c r="G33" i="4"/>
  <c r="H33" i="4"/>
  <c r="E33" i="4" s="1"/>
  <c r="A34" i="4"/>
  <c r="B34" i="4"/>
  <c r="C34" i="4"/>
  <c r="D34" i="4"/>
  <c r="F34" i="4"/>
  <c r="G34" i="4"/>
  <c r="H34" i="4"/>
  <c r="E34" i="4" s="1"/>
  <c r="A35" i="4"/>
  <c r="B35" i="4"/>
  <c r="C35" i="4"/>
  <c r="D35" i="4"/>
  <c r="F35" i="4"/>
  <c r="G35" i="4"/>
  <c r="H35" i="4"/>
  <c r="E35" i="4" s="1"/>
  <c r="A36" i="4"/>
  <c r="B36" i="4"/>
  <c r="C36" i="4"/>
  <c r="D36" i="4"/>
  <c r="F36" i="4"/>
  <c r="G36" i="4"/>
  <c r="H36" i="4"/>
  <c r="E36" i="4" s="1"/>
  <c r="A37" i="4"/>
  <c r="B37" i="4"/>
  <c r="C37" i="4"/>
  <c r="D37" i="4"/>
  <c r="F37" i="4"/>
  <c r="G37" i="4"/>
  <c r="H37" i="4"/>
  <c r="E37" i="4" s="1"/>
  <c r="A38" i="4"/>
  <c r="B38" i="4"/>
  <c r="C38" i="4"/>
  <c r="D38" i="4"/>
  <c r="F38" i="4"/>
  <c r="G38" i="4"/>
  <c r="H38" i="4"/>
  <c r="E38" i="4" s="1"/>
  <c r="A39" i="4"/>
  <c r="B39" i="4"/>
  <c r="C39" i="4"/>
  <c r="D39" i="4"/>
  <c r="F39" i="4"/>
  <c r="G39" i="4"/>
  <c r="H39" i="4"/>
  <c r="E39" i="4" s="1"/>
  <c r="A40" i="4"/>
  <c r="B40" i="4"/>
  <c r="C40" i="4"/>
  <c r="D40" i="4"/>
  <c r="F40" i="4"/>
  <c r="G40" i="4"/>
  <c r="H40" i="4"/>
  <c r="E40" i="4" s="1"/>
  <c r="A41" i="4"/>
  <c r="B41" i="4"/>
  <c r="C41" i="4"/>
  <c r="D41" i="4"/>
  <c r="F41" i="4"/>
  <c r="G41" i="4"/>
  <c r="H41" i="4"/>
  <c r="E41" i="4" s="1"/>
  <c r="A42" i="4"/>
  <c r="B42" i="4"/>
  <c r="C42" i="4"/>
  <c r="D42" i="4"/>
  <c r="F42" i="4"/>
  <c r="G42" i="4"/>
  <c r="H42" i="4"/>
  <c r="E42" i="4" s="1"/>
  <c r="A43" i="4"/>
  <c r="B43" i="4"/>
  <c r="C43" i="4"/>
  <c r="D43" i="4"/>
  <c r="F43" i="4"/>
  <c r="G43" i="4"/>
  <c r="H43" i="4"/>
  <c r="E43" i="4" s="1"/>
  <c r="A44" i="4"/>
  <c r="B44" i="4"/>
  <c r="C44" i="4"/>
  <c r="D44" i="4"/>
  <c r="F44" i="4"/>
  <c r="G44" i="4"/>
  <c r="H44" i="4"/>
  <c r="E44" i="4" s="1"/>
  <c r="A45" i="4"/>
  <c r="B45" i="4"/>
  <c r="C45" i="4"/>
  <c r="D45" i="4"/>
  <c r="F45" i="4"/>
  <c r="G45" i="4"/>
  <c r="H45" i="4"/>
  <c r="E45" i="4" s="1"/>
  <c r="A46" i="4"/>
  <c r="B46" i="4"/>
  <c r="C46" i="4"/>
  <c r="D46" i="4"/>
  <c r="F46" i="4"/>
  <c r="G46" i="4"/>
  <c r="H46" i="4"/>
  <c r="E46" i="4" s="1"/>
  <c r="A47" i="4"/>
  <c r="B47" i="4"/>
  <c r="C47" i="4"/>
  <c r="D47" i="4"/>
  <c r="F47" i="4"/>
  <c r="G47" i="4"/>
  <c r="H47" i="4"/>
  <c r="E47" i="4" s="1"/>
  <c r="A48" i="4"/>
  <c r="B48" i="4"/>
  <c r="C48" i="4"/>
  <c r="D48" i="4"/>
  <c r="F48" i="4"/>
  <c r="G48" i="4"/>
  <c r="H48" i="4"/>
  <c r="E48" i="4" s="1"/>
  <c r="A49" i="4"/>
  <c r="B49" i="4"/>
  <c r="C49" i="4"/>
  <c r="D49" i="4"/>
  <c r="F49" i="4"/>
  <c r="G49" i="4"/>
  <c r="H49" i="4"/>
  <c r="E49" i="4" s="1"/>
  <c r="A50" i="4"/>
  <c r="B50" i="4"/>
  <c r="C50" i="4"/>
  <c r="D50" i="4"/>
  <c r="F50" i="4"/>
  <c r="G50" i="4"/>
  <c r="H50" i="4"/>
  <c r="E50" i="4" s="1"/>
  <c r="A51" i="4"/>
  <c r="B51" i="4"/>
  <c r="C51" i="4"/>
  <c r="D51" i="4"/>
  <c r="F51" i="4"/>
  <c r="G51" i="4"/>
  <c r="H51" i="4"/>
  <c r="E51" i="4" s="1"/>
  <c r="A52" i="4"/>
  <c r="B52" i="4"/>
  <c r="C52" i="4"/>
  <c r="D52" i="4"/>
  <c r="F52" i="4"/>
  <c r="G52" i="4"/>
  <c r="H52" i="4"/>
  <c r="E52" i="4" s="1"/>
  <c r="A53" i="4"/>
  <c r="B53" i="4"/>
  <c r="C53" i="4"/>
  <c r="D53" i="4"/>
  <c r="F53" i="4"/>
  <c r="G53" i="4"/>
  <c r="H53" i="4"/>
  <c r="E53" i="4" s="1"/>
  <c r="A54" i="4"/>
  <c r="B54" i="4"/>
  <c r="C54" i="4"/>
  <c r="D54" i="4"/>
  <c r="F54" i="4"/>
  <c r="G54" i="4"/>
  <c r="H54" i="4"/>
  <c r="E54" i="4" s="1"/>
  <c r="A55" i="4"/>
  <c r="B55" i="4"/>
  <c r="C55" i="4"/>
  <c r="D55" i="4"/>
  <c r="F55" i="4"/>
  <c r="G55" i="4"/>
  <c r="H55" i="4"/>
  <c r="E55" i="4" s="1"/>
  <c r="A56" i="4"/>
  <c r="B56" i="4"/>
  <c r="C56" i="4"/>
  <c r="D56" i="4"/>
  <c r="F56" i="4"/>
  <c r="G56" i="4"/>
  <c r="H56" i="4"/>
  <c r="E56" i="4" s="1"/>
  <c r="A57" i="4"/>
  <c r="B57" i="4"/>
  <c r="C57" i="4"/>
  <c r="D57" i="4"/>
  <c r="F57" i="4"/>
  <c r="G57" i="4"/>
  <c r="H57" i="4"/>
  <c r="E57" i="4" s="1"/>
  <c r="A58" i="4"/>
  <c r="B58" i="4"/>
  <c r="C58" i="4"/>
  <c r="D58" i="4"/>
  <c r="F58" i="4"/>
  <c r="G58" i="4"/>
  <c r="H58" i="4"/>
  <c r="E58" i="4" s="1"/>
  <c r="A59" i="4"/>
  <c r="B59" i="4"/>
  <c r="C59" i="4"/>
  <c r="D59" i="4"/>
  <c r="F59" i="4"/>
  <c r="G59" i="4"/>
  <c r="H59" i="4"/>
  <c r="E59" i="4" s="1"/>
  <c r="A60" i="4"/>
  <c r="B60" i="4"/>
  <c r="C60" i="4"/>
  <c r="D60" i="4"/>
  <c r="F60" i="4"/>
  <c r="G60" i="4"/>
  <c r="H60" i="4"/>
  <c r="E60" i="4" s="1"/>
  <c r="A61" i="4"/>
  <c r="B61" i="4"/>
  <c r="C61" i="4"/>
  <c r="D61" i="4"/>
  <c r="F61" i="4"/>
  <c r="G61" i="4"/>
  <c r="H61" i="4"/>
  <c r="E61" i="4" s="1"/>
  <c r="A62" i="4"/>
  <c r="B62" i="4"/>
  <c r="C62" i="4"/>
  <c r="D62" i="4"/>
  <c r="F62" i="4"/>
  <c r="G62" i="4"/>
  <c r="H62" i="4"/>
  <c r="E62" i="4" s="1"/>
  <c r="A63" i="4"/>
  <c r="B63" i="4"/>
  <c r="C63" i="4"/>
  <c r="D63" i="4"/>
  <c r="F63" i="4"/>
  <c r="G63" i="4"/>
  <c r="H63" i="4"/>
  <c r="E63" i="4" s="1"/>
  <c r="A64" i="4"/>
  <c r="B64" i="4"/>
  <c r="C64" i="4"/>
  <c r="D64" i="4"/>
  <c r="F64" i="4"/>
  <c r="G64" i="4"/>
  <c r="H64" i="4"/>
  <c r="E64" i="4" s="1"/>
  <c r="A65" i="4"/>
  <c r="B65" i="4"/>
  <c r="C65" i="4"/>
  <c r="D65" i="4"/>
  <c r="F65" i="4"/>
  <c r="G65" i="4"/>
  <c r="H65" i="4"/>
  <c r="E65" i="4" s="1"/>
  <c r="A66" i="4"/>
  <c r="B66" i="4"/>
  <c r="C66" i="4"/>
  <c r="D66" i="4"/>
  <c r="F66" i="4"/>
  <c r="G66" i="4"/>
  <c r="H66" i="4"/>
  <c r="E66" i="4" s="1"/>
  <c r="A67" i="4"/>
  <c r="B67" i="4"/>
  <c r="C67" i="4"/>
  <c r="D67" i="4"/>
  <c r="F67" i="4"/>
  <c r="G67" i="4"/>
  <c r="H67" i="4"/>
  <c r="E67" i="4" s="1"/>
  <c r="A68" i="4"/>
  <c r="B68" i="4"/>
  <c r="C68" i="4"/>
  <c r="D68" i="4"/>
  <c r="F68" i="4"/>
  <c r="G68" i="4"/>
  <c r="H68" i="4"/>
  <c r="E68" i="4" s="1"/>
  <c r="A69" i="4"/>
  <c r="B69" i="4"/>
  <c r="C69" i="4"/>
  <c r="D69" i="4"/>
  <c r="F69" i="4"/>
  <c r="G69" i="4"/>
  <c r="H69" i="4"/>
  <c r="E69" i="4" s="1"/>
  <c r="A70" i="4"/>
  <c r="B70" i="4"/>
  <c r="C70" i="4"/>
  <c r="D70" i="4"/>
  <c r="F70" i="4"/>
  <c r="G70" i="4"/>
  <c r="H70" i="4"/>
  <c r="E70" i="4" s="1"/>
  <c r="A71" i="4"/>
  <c r="B71" i="4"/>
  <c r="C71" i="4"/>
  <c r="D71" i="4"/>
  <c r="F71" i="4"/>
  <c r="G71" i="4"/>
  <c r="H71" i="4"/>
  <c r="E71" i="4" s="1"/>
  <c r="A72" i="4"/>
  <c r="B72" i="4"/>
  <c r="C72" i="4"/>
  <c r="D72" i="4"/>
  <c r="F72" i="4"/>
  <c r="G72" i="4"/>
  <c r="H72" i="4"/>
  <c r="E72" i="4" s="1"/>
  <c r="A73" i="4"/>
  <c r="B73" i="4"/>
  <c r="C73" i="4"/>
  <c r="D73" i="4"/>
  <c r="F73" i="4"/>
  <c r="G73" i="4"/>
  <c r="H73" i="4"/>
  <c r="E73" i="4" s="1"/>
  <c r="A74" i="4"/>
  <c r="B74" i="4"/>
  <c r="C74" i="4"/>
  <c r="D74" i="4"/>
  <c r="F74" i="4"/>
  <c r="G74" i="4"/>
  <c r="H74" i="4"/>
  <c r="E74" i="4" s="1"/>
  <c r="A75" i="4"/>
  <c r="B75" i="4"/>
  <c r="C75" i="4"/>
  <c r="D75" i="4"/>
  <c r="F75" i="4"/>
  <c r="G75" i="4"/>
  <c r="H75" i="4"/>
  <c r="E75" i="4" s="1"/>
  <c r="A76" i="4"/>
  <c r="B76" i="4"/>
  <c r="C76" i="4"/>
  <c r="D76" i="4"/>
  <c r="F76" i="4"/>
  <c r="G76" i="4"/>
  <c r="H76" i="4"/>
  <c r="E76" i="4" s="1"/>
  <c r="A77" i="4"/>
  <c r="B77" i="4"/>
  <c r="C77" i="4"/>
  <c r="D77" i="4"/>
  <c r="F77" i="4"/>
  <c r="G77" i="4"/>
  <c r="H77" i="4"/>
  <c r="E77" i="4" s="1"/>
  <c r="A78" i="4"/>
  <c r="B78" i="4"/>
  <c r="C78" i="4"/>
  <c r="D78" i="4"/>
  <c r="F78" i="4"/>
  <c r="G78" i="4"/>
  <c r="H78" i="4"/>
  <c r="E78" i="4" s="1"/>
  <c r="A79" i="4"/>
  <c r="B79" i="4"/>
  <c r="C79" i="4"/>
  <c r="D79" i="4"/>
  <c r="F79" i="4"/>
  <c r="G79" i="4"/>
  <c r="H79" i="4"/>
  <c r="E79" i="4" s="1"/>
  <c r="A80" i="4"/>
  <c r="B80" i="4"/>
  <c r="C80" i="4"/>
  <c r="D80" i="4"/>
  <c r="F80" i="4"/>
  <c r="G80" i="4"/>
  <c r="H80" i="4"/>
  <c r="E80" i="4" s="1"/>
  <c r="A81" i="4"/>
  <c r="B81" i="4"/>
  <c r="C81" i="4"/>
  <c r="D81" i="4"/>
  <c r="F81" i="4"/>
  <c r="G81" i="4"/>
  <c r="H81" i="4"/>
  <c r="E81" i="4" s="1"/>
  <c r="A82" i="4"/>
  <c r="B82" i="4"/>
  <c r="C82" i="4"/>
  <c r="D82" i="4"/>
  <c r="F82" i="4"/>
  <c r="G82" i="4"/>
  <c r="H82" i="4"/>
  <c r="E82" i="4" s="1"/>
  <c r="A83" i="4"/>
  <c r="B83" i="4"/>
  <c r="C83" i="4"/>
  <c r="D83" i="4"/>
  <c r="F83" i="4"/>
  <c r="G83" i="4"/>
  <c r="H83" i="4"/>
  <c r="E83" i="4" s="1"/>
  <c r="A84" i="4"/>
  <c r="B84" i="4"/>
  <c r="C84" i="4"/>
  <c r="D84" i="4"/>
  <c r="F84" i="4"/>
  <c r="G84" i="4"/>
  <c r="H84" i="4"/>
  <c r="E84" i="4" s="1"/>
  <c r="A85" i="4"/>
  <c r="B85" i="4"/>
  <c r="C85" i="4"/>
  <c r="D85" i="4"/>
  <c r="F85" i="4"/>
  <c r="G85" i="4"/>
  <c r="H85" i="4"/>
  <c r="E85" i="4" s="1"/>
  <c r="A86" i="4"/>
  <c r="B86" i="4"/>
  <c r="C86" i="4"/>
  <c r="D86" i="4"/>
  <c r="F86" i="4"/>
  <c r="G86" i="4"/>
  <c r="H86" i="4"/>
  <c r="E86" i="4" s="1"/>
  <c r="A87" i="4"/>
  <c r="B87" i="4"/>
  <c r="C87" i="4"/>
  <c r="D87" i="4"/>
  <c r="F87" i="4"/>
  <c r="G87" i="4"/>
  <c r="H87" i="4"/>
  <c r="E87" i="4" s="1"/>
  <c r="A88" i="4"/>
  <c r="B88" i="4"/>
  <c r="C88" i="4"/>
  <c r="D88" i="4"/>
  <c r="F88" i="4"/>
  <c r="G88" i="4"/>
  <c r="H88" i="4"/>
  <c r="E88" i="4" s="1"/>
  <c r="A89" i="4"/>
  <c r="B89" i="4"/>
  <c r="C89" i="4"/>
  <c r="D89" i="4"/>
  <c r="F89" i="4"/>
  <c r="G89" i="4"/>
  <c r="H89" i="4"/>
  <c r="E89" i="4" s="1"/>
  <c r="A90" i="4"/>
  <c r="B90" i="4"/>
  <c r="C90" i="4"/>
  <c r="D90" i="4"/>
  <c r="F90" i="4"/>
  <c r="G90" i="4"/>
  <c r="H90" i="4"/>
  <c r="E90" i="4" s="1"/>
  <c r="A91" i="4"/>
  <c r="B91" i="4"/>
  <c r="C91" i="4"/>
  <c r="D91" i="4"/>
  <c r="F91" i="4"/>
  <c r="G91" i="4"/>
  <c r="H91" i="4"/>
  <c r="E91" i="4" s="1"/>
  <c r="A92" i="4"/>
  <c r="B92" i="4"/>
  <c r="C92" i="4"/>
  <c r="D92" i="4"/>
  <c r="F92" i="4"/>
  <c r="G92" i="4"/>
  <c r="H92" i="4"/>
  <c r="E92" i="4" s="1"/>
  <c r="A93" i="4"/>
  <c r="B93" i="4"/>
  <c r="C93" i="4"/>
  <c r="D93" i="4"/>
  <c r="F93" i="4"/>
  <c r="G93" i="4"/>
  <c r="H93" i="4"/>
  <c r="E93" i="4" s="1"/>
  <c r="A94" i="4"/>
  <c r="B94" i="4"/>
  <c r="C94" i="4"/>
  <c r="D94" i="4"/>
  <c r="F94" i="4"/>
  <c r="G94" i="4"/>
  <c r="H94" i="4"/>
  <c r="E94" i="4" s="1"/>
  <c r="A95" i="4"/>
  <c r="B95" i="4"/>
  <c r="C95" i="4"/>
  <c r="D95" i="4"/>
  <c r="F95" i="4"/>
  <c r="G95" i="4"/>
  <c r="H95" i="4"/>
  <c r="E95" i="4" s="1"/>
  <c r="A96" i="4"/>
  <c r="B96" i="4"/>
  <c r="C96" i="4"/>
  <c r="D96" i="4"/>
  <c r="F96" i="4"/>
  <c r="G96" i="4"/>
  <c r="H96" i="4"/>
  <c r="E96" i="4" s="1"/>
  <c r="A97" i="4"/>
  <c r="B97" i="4"/>
  <c r="C97" i="4"/>
  <c r="D97" i="4"/>
  <c r="F97" i="4"/>
  <c r="G97" i="4"/>
  <c r="H97" i="4"/>
  <c r="E97" i="4" s="1"/>
  <c r="A98" i="4"/>
  <c r="B98" i="4"/>
  <c r="C98" i="4"/>
  <c r="D98" i="4"/>
  <c r="F98" i="4"/>
  <c r="G98" i="4"/>
  <c r="H98" i="4"/>
  <c r="E98" i="4" s="1"/>
  <c r="A99" i="4"/>
  <c r="B99" i="4"/>
  <c r="C99" i="4"/>
  <c r="D99" i="4"/>
  <c r="F99" i="4"/>
  <c r="G99" i="4"/>
  <c r="H99" i="4"/>
  <c r="E99" i="4" s="1"/>
  <c r="A100" i="4"/>
  <c r="B100" i="4"/>
  <c r="C100" i="4"/>
  <c r="D100" i="4"/>
  <c r="F100" i="4"/>
  <c r="G100" i="4"/>
  <c r="H100" i="4"/>
  <c r="E100" i="4" s="1"/>
  <c r="A101" i="4"/>
  <c r="B101" i="4"/>
  <c r="C101" i="4"/>
  <c r="D101" i="4"/>
  <c r="F101" i="4"/>
  <c r="G101" i="4"/>
  <c r="H101" i="4"/>
  <c r="E101" i="4" s="1"/>
  <c r="A102" i="4"/>
  <c r="B102" i="4"/>
  <c r="C102" i="4"/>
  <c r="D102" i="4"/>
  <c r="F102" i="4"/>
  <c r="G102" i="4"/>
  <c r="H102" i="4"/>
  <c r="E102" i="4" s="1"/>
  <c r="A103" i="4"/>
  <c r="B103" i="4"/>
  <c r="C103" i="4"/>
  <c r="D103" i="4"/>
  <c r="F103" i="4"/>
  <c r="G103" i="4"/>
  <c r="H103" i="4"/>
  <c r="E103" i="4" s="1"/>
  <c r="A104" i="4"/>
  <c r="B104" i="4"/>
  <c r="C104" i="4"/>
  <c r="D104" i="4"/>
  <c r="F104" i="4"/>
  <c r="G104" i="4"/>
  <c r="H104" i="4"/>
  <c r="E104" i="4" s="1"/>
  <c r="A105" i="4"/>
  <c r="B105" i="4"/>
  <c r="C105" i="4"/>
  <c r="D105" i="4"/>
  <c r="F105" i="4"/>
  <c r="G105" i="4"/>
  <c r="H105" i="4"/>
  <c r="E105" i="4" s="1"/>
  <c r="A106" i="4"/>
  <c r="B106" i="4"/>
  <c r="C106" i="4"/>
  <c r="D106" i="4"/>
  <c r="F106" i="4"/>
  <c r="G106" i="4"/>
  <c r="H106" i="4"/>
  <c r="E106" i="4" s="1"/>
  <c r="A107" i="4"/>
  <c r="B107" i="4"/>
  <c r="C107" i="4"/>
  <c r="D107" i="4"/>
  <c r="F107" i="4"/>
  <c r="G107" i="4"/>
  <c r="H107" i="4"/>
  <c r="E107" i="4" s="1"/>
  <c r="A108" i="4"/>
  <c r="B108" i="4"/>
  <c r="C108" i="4"/>
  <c r="D108" i="4"/>
  <c r="F108" i="4"/>
  <c r="G108" i="4"/>
  <c r="H108" i="4"/>
  <c r="E108" i="4" s="1"/>
  <c r="A109" i="4"/>
  <c r="B109" i="4"/>
  <c r="C109" i="4"/>
  <c r="D109" i="4"/>
  <c r="F109" i="4"/>
  <c r="G109" i="4"/>
  <c r="H109" i="4"/>
  <c r="E109" i="4" s="1"/>
  <c r="A110" i="4"/>
  <c r="B110" i="4"/>
  <c r="C110" i="4"/>
  <c r="D110" i="4"/>
  <c r="F110" i="4"/>
  <c r="G110" i="4"/>
  <c r="H110" i="4"/>
  <c r="E110" i="4" s="1"/>
  <c r="A111" i="4"/>
  <c r="B111" i="4"/>
  <c r="C111" i="4"/>
  <c r="D111" i="4"/>
  <c r="F111" i="4"/>
  <c r="G111" i="4"/>
  <c r="H111" i="4"/>
  <c r="E111" i="4" s="1"/>
  <c r="A112" i="4"/>
  <c r="B112" i="4"/>
  <c r="C112" i="4"/>
  <c r="D112" i="4"/>
  <c r="F112" i="4"/>
  <c r="G112" i="4"/>
  <c r="H112" i="4"/>
  <c r="E112" i="4" s="1"/>
  <c r="A113" i="4"/>
  <c r="B113" i="4"/>
  <c r="C113" i="4"/>
  <c r="D113" i="4"/>
  <c r="F113" i="4"/>
  <c r="G113" i="4"/>
  <c r="H113" i="4"/>
  <c r="E113" i="4" s="1"/>
  <c r="A114" i="4"/>
  <c r="B114" i="4"/>
  <c r="C114" i="4"/>
  <c r="D114" i="4"/>
  <c r="F114" i="4"/>
  <c r="G114" i="4"/>
  <c r="H114" i="4"/>
  <c r="E114" i="4" s="1"/>
  <c r="A115" i="4"/>
  <c r="B115" i="4"/>
  <c r="C115" i="4"/>
  <c r="D115" i="4"/>
  <c r="F115" i="4"/>
  <c r="G115" i="4"/>
  <c r="H115" i="4"/>
  <c r="E115" i="4" s="1"/>
  <c r="A116" i="4"/>
  <c r="B116" i="4"/>
  <c r="C116" i="4"/>
  <c r="D116" i="4"/>
  <c r="F116" i="4"/>
  <c r="G116" i="4"/>
  <c r="H116" i="4"/>
  <c r="E116" i="4" s="1"/>
  <c r="A117" i="4"/>
  <c r="B117" i="4"/>
  <c r="C117" i="4"/>
  <c r="D117" i="4"/>
  <c r="F117" i="4"/>
  <c r="G117" i="4"/>
  <c r="H117" i="4"/>
  <c r="E117" i="4" s="1"/>
  <c r="A118" i="4"/>
  <c r="B118" i="4"/>
  <c r="C118" i="4"/>
  <c r="D118" i="4"/>
  <c r="F118" i="4"/>
  <c r="G118" i="4"/>
  <c r="H118" i="4"/>
  <c r="E118" i="4" s="1"/>
  <c r="A119" i="4"/>
  <c r="B119" i="4"/>
  <c r="C119" i="4"/>
  <c r="D119" i="4"/>
  <c r="F119" i="4"/>
  <c r="G119" i="4"/>
  <c r="H119" i="4"/>
  <c r="E119" i="4" s="1"/>
  <c r="A120" i="4"/>
  <c r="B120" i="4"/>
  <c r="C120" i="4"/>
  <c r="D120" i="4"/>
  <c r="F120" i="4"/>
  <c r="G120" i="4"/>
  <c r="H120" i="4"/>
  <c r="E120" i="4" s="1"/>
  <c r="A121" i="4"/>
  <c r="B121" i="4"/>
  <c r="C121" i="4"/>
  <c r="D121" i="4"/>
  <c r="F121" i="4"/>
  <c r="G121" i="4"/>
  <c r="H121" i="4"/>
  <c r="E121" i="4" s="1"/>
  <c r="A122" i="4"/>
  <c r="B122" i="4"/>
  <c r="C122" i="4"/>
  <c r="D122" i="4"/>
  <c r="F122" i="4"/>
  <c r="G122" i="4"/>
  <c r="H122" i="4"/>
  <c r="E122" i="4" s="1"/>
  <c r="A123" i="4"/>
  <c r="B123" i="4"/>
  <c r="C123" i="4"/>
  <c r="D123" i="4"/>
  <c r="F123" i="4"/>
  <c r="G123" i="4"/>
  <c r="H123" i="4"/>
  <c r="E123" i="4" s="1"/>
  <c r="A124" i="4"/>
  <c r="B124" i="4"/>
  <c r="C124" i="4"/>
  <c r="D124" i="4"/>
  <c r="F124" i="4"/>
  <c r="G124" i="4"/>
  <c r="H124" i="4"/>
  <c r="E124" i="4" s="1"/>
  <c r="A125" i="4"/>
  <c r="B125" i="4"/>
  <c r="C125" i="4"/>
  <c r="D125" i="4"/>
  <c r="F125" i="4"/>
  <c r="G125" i="4"/>
  <c r="H125" i="4"/>
  <c r="E125" i="4" s="1"/>
  <c r="A126" i="4"/>
  <c r="B126" i="4"/>
  <c r="C126" i="4"/>
  <c r="D126" i="4"/>
  <c r="F126" i="4"/>
  <c r="G126" i="4"/>
  <c r="H126" i="4"/>
  <c r="E126" i="4" s="1"/>
  <c r="A127" i="4"/>
  <c r="B127" i="4"/>
  <c r="C127" i="4"/>
  <c r="D127" i="4"/>
  <c r="F127" i="4"/>
  <c r="G127" i="4"/>
  <c r="H127" i="4"/>
  <c r="E127" i="4" s="1"/>
  <c r="A128" i="4"/>
  <c r="B128" i="4"/>
  <c r="C128" i="4"/>
  <c r="D128" i="4"/>
  <c r="F128" i="4"/>
  <c r="G128" i="4"/>
  <c r="H128" i="4"/>
  <c r="E128" i="4" s="1"/>
  <c r="A129" i="4"/>
  <c r="B129" i="4"/>
  <c r="C129" i="4"/>
  <c r="D129" i="4"/>
  <c r="F129" i="4"/>
  <c r="G129" i="4"/>
  <c r="H129" i="4"/>
  <c r="E129" i="4" s="1"/>
  <c r="A130" i="4"/>
  <c r="B130" i="4"/>
  <c r="C130" i="4"/>
  <c r="D130" i="4"/>
  <c r="F130" i="4"/>
  <c r="G130" i="4"/>
  <c r="H130" i="4"/>
  <c r="E130" i="4" s="1"/>
  <c r="A131" i="4"/>
  <c r="B131" i="4"/>
  <c r="C131" i="4"/>
  <c r="D131" i="4"/>
  <c r="F131" i="4"/>
  <c r="G131" i="4"/>
  <c r="H131" i="4"/>
  <c r="E131" i="4" s="1"/>
  <c r="A132" i="4"/>
  <c r="B132" i="4"/>
  <c r="C132" i="4"/>
  <c r="D132" i="4"/>
  <c r="F132" i="4"/>
  <c r="G132" i="4"/>
  <c r="H132" i="4"/>
  <c r="E132" i="4" s="1"/>
  <c r="A133" i="4"/>
  <c r="B133" i="4"/>
  <c r="C133" i="4"/>
  <c r="D133" i="4"/>
  <c r="F133" i="4"/>
  <c r="G133" i="4"/>
  <c r="H133" i="4"/>
  <c r="E133" i="4" s="1"/>
  <c r="A134" i="4"/>
  <c r="B134" i="4"/>
  <c r="C134" i="4"/>
  <c r="D134" i="4"/>
  <c r="F134" i="4"/>
  <c r="G134" i="4"/>
  <c r="H134" i="4"/>
  <c r="E134" i="4" s="1"/>
  <c r="A135" i="4"/>
  <c r="B135" i="4"/>
  <c r="C135" i="4"/>
  <c r="D135" i="4"/>
  <c r="F135" i="4"/>
  <c r="G135" i="4"/>
  <c r="H135" i="4"/>
  <c r="E135" i="4" s="1"/>
  <c r="A136" i="4"/>
  <c r="B136" i="4"/>
  <c r="C136" i="4"/>
  <c r="D136" i="4"/>
  <c r="F136" i="4"/>
  <c r="G136" i="4"/>
  <c r="H136" i="4"/>
  <c r="E136" i="4" s="1"/>
  <c r="A137" i="4"/>
  <c r="B137" i="4"/>
  <c r="C137" i="4"/>
  <c r="D137" i="4"/>
  <c r="F137" i="4"/>
  <c r="G137" i="4"/>
  <c r="H137" i="4"/>
  <c r="E137" i="4" s="1"/>
  <c r="A138" i="4"/>
  <c r="B138" i="4"/>
  <c r="C138" i="4"/>
  <c r="D138" i="4"/>
  <c r="F138" i="4"/>
  <c r="G138" i="4"/>
  <c r="H138" i="4"/>
  <c r="E138" i="4" s="1"/>
  <c r="A139" i="4"/>
  <c r="B139" i="4"/>
  <c r="C139" i="4"/>
  <c r="D139" i="4"/>
  <c r="F139" i="4"/>
  <c r="G139" i="4"/>
  <c r="H139" i="4"/>
  <c r="E139" i="4" s="1"/>
  <c r="A140" i="4"/>
  <c r="B140" i="4"/>
  <c r="C140" i="4"/>
  <c r="D140" i="4"/>
  <c r="F140" i="4"/>
  <c r="G140" i="4"/>
  <c r="H140" i="4"/>
  <c r="E140" i="4" s="1"/>
  <c r="A141" i="4"/>
  <c r="B141" i="4"/>
  <c r="C141" i="4"/>
  <c r="D141" i="4"/>
  <c r="F141" i="4"/>
  <c r="G141" i="4"/>
  <c r="H141" i="4"/>
  <c r="E141" i="4" s="1"/>
  <c r="A142" i="4"/>
  <c r="B142" i="4"/>
  <c r="C142" i="4"/>
  <c r="D142" i="4"/>
  <c r="F142" i="4"/>
  <c r="G142" i="4"/>
  <c r="H142" i="4"/>
  <c r="E142" i="4" s="1"/>
  <c r="A143" i="4"/>
  <c r="B143" i="4"/>
  <c r="C143" i="4"/>
  <c r="D143" i="4"/>
  <c r="F143" i="4"/>
  <c r="G143" i="4"/>
  <c r="H143" i="4"/>
  <c r="E143" i="4" s="1"/>
  <c r="A144" i="4"/>
  <c r="B144" i="4"/>
  <c r="C144" i="4"/>
  <c r="D144" i="4"/>
  <c r="F144" i="4"/>
  <c r="G144" i="4"/>
  <c r="H144" i="4"/>
  <c r="E144" i="4" s="1"/>
  <c r="A145" i="4"/>
  <c r="B145" i="4"/>
  <c r="C145" i="4"/>
  <c r="D145" i="4"/>
  <c r="F145" i="4"/>
  <c r="G145" i="4"/>
  <c r="H145" i="4"/>
  <c r="E145" i="4" s="1"/>
  <c r="A146" i="4"/>
  <c r="B146" i="4"/>
  <c r="C146" i="4"/>
  <c r="D146" i="4"/>
  <c r="F146" i="4"/>
  <c r="G146" i="4"/>
  <c r="H146" i="4"/>
  <c r="E146" i="4" s="1"/>
  <c r="A147" i="4"/>
  <c r="B147" i="4"/>
  <c r="C147" i="4"/>
  <c r="D147" i="4"/>
  <c r="F147" i="4"/>
  <c r="G147" i="4"/>
  <c r="H147" i="4"/>
  <c r="E147" i="4" s="1"/>
  <c r="A148" i="4"/>
  <c r="B148" i="4"/>
  <c r="C148" i="4"/>
  <c r="D148" i="4"/>
  <c r="F148" i="4"/>
  <c r="G148" i="4"/>
  <c r="H148" i="4"/>
  <c r="E148" i="4" s="1"/>
  <c r="A149" i="4"/>
  <c r="B149" i="4"/>
  <c r="C149" i="4"/>
  <c r="D149" i="4"/>
  <c r="F149" i="4"/>
  <c r="G149" i="4"/>
  <c r="H149" i="4"/>
  <c r="E149" i="4" s="1"/>
  <c r="A150" i="4"/>
  <c r="B150" i="4"/>
  <c r="C150" i="4"/>
  <c r="D150" i="4"/>
  <c r="F150" i="4"/>
  <c r="G150" i="4"/>
  <c r="H150" i="4"/>
  <c r="E150" i="4" s="1"/>
  <c r="A151" i="4"/>
  <c r="B151" i="4"/>
  <c r="C151" i="4"/>
  <c r="D151" i="4"/>
  <c r="F151" i="4"/>
  <c r="G151" i="4"/>
  <c r="H151" i="4"/>
  <c r="E151" i="4" s="1"/>
  <c r="A152" i="4"/>
  <c r="B152" i="4"/>
  <c r="C152" i="4"/>
  <c r="D152" i="4"/>
  <c r="F152" i="4"/>
  <c r="G152" i="4"/>
  <c r="H152" i="4"/>
  <c r="E152" i="4" s="1"/>
  <c r="A153" i="4"/>
  <c r="B153" i="4"/>
  <c r="C153" i="4"/>
  <c r="D153" i="4"/>
  <c r="F153" i="4"/>
  <c r="G153" i="4"/>
  <c r="H153" i="4"/>
  <c r="E153" i="4" s="1"/>
  <c r="A154" i="4"/>
  <c r="B154" i="4"/>
  <c r="C154" i="4"/>
  <c r="D154" i="4"/>
  <c r="F154" i="4"/>
  <c r="G154" i="4"/>
  <c r="H154" i="4"/>
  <c r="E154" i="4" s="1"/>
  <c r="A155" i="4"/>
  <c r="B155" i="4"/>
  <c r="C155" i="4"/>
  <c r="D155" i="4"/>
  <c r="F155" i="4"/>
  <c r="G155" i="4"/>
  <c r="H155" i="4"/>
  <c r="E155" i="4" s="1"/>
  <c r="A156" i="4"/>
  <c r="B156" i="4"/>
  <c r="C156" i="4"/>
  <c r="D156" i="4"/>
  <c r="F156" i="4"/>
  <c r="G156" i="4"/>
  <c r="H156" i="4"/>
  <c r="E156" i="4" s="1"/>
  <c r="A157" i="4"/>
  <c r="B157" i="4"/>
  <c r="C157" i="4"/>
  <c r="D157" i="4"/>
  <c r="F157" i="4"/>
  <c r="G157" i="4"/>
  <c r="H157" i="4"/>
  <c r="E157" i="4" s="1"/>
  <c r="A158" i="4"/>
  <c r="B158" i="4"/>
  <c r="C158" i="4"/>
  <c r="D158" i="4"/>
  <c r="F158" i="4"/>
  <c r="G158" i="4"/>
  <c r="H158" i="4"/>
  <c r="E158" i="4" s="1"/>
  <c r="A159" i="4"/>
  <c r="B159" i="4"/>
  <c r="C159" i="4"/>
  <c r="D159" i="4"/>
  <c r="F159" i="4"/>
  <c r="G159" i="4"/>
  <c r="H159" i="4"/>
  <c r="E159" i="4" s="1"/>
  <c r="A160" i="4"/>
  <c r="B160" i="4"/>
  <c r="C160" i="4"/>
  <c r="D160" i="4"/>
  <c r="F160" i="4"/>
  <c r="G160" i="4"/>
  <c r="H160" i="4"/>
  <c r="E160" i="4" s="1"/>
  <c r="A161" i="4"/>
  <c r="B161" i="4"/>
  <c r="C161" i="4"/>
  <c r="D161" i="4"/>
  <c r="F161" i="4"/>
  <c r="G161" i="4"/>
  <c r="H161" i="4"/>
  <c r="E161" i="4" s="1"/>
  <c r="A162" i="4"/>
  <c r="B162" i="4"/>
  <c r="C162" i="4"/>
  <c r="D162" i="4"/>
  <c r="F162" i="4"/>
  <c r="G162" i="4"/>
  <c r="H162" i="4"/>
  <c r="E162" i="4" s="1"/>
  <c r="A163" i="4"/>
  <c r="B163" i="4"/>
  <c r="C163" i="4"/>
  <c r="D163" i="4"/>
  <c r="F163" i="4"/>
  <c r="G163" i="4"/>
  <c r="H163" i="4"/>
  <c r="E163" i="4" s="1"/>
  <c r="A164" i="4"/>
  <c r="B164" i="4"/>
  <c r="C164" i="4"/>
  <c r="D164" i="4"/>
  <c r="F164" i="4"/>
  <c r="G164" i="4"/>
  <c r="H164" i="4"/>
  <c r="E164" i="4" s="1"/>
  <c r="A165" i="4"/>
  <c r="B165" i="4"/>
  <c r="C165" i="4"/>
  <c r="D165" i="4"/>
  <c r="F165" i="4"/>
  <c r="G165" i="4"/>
  <c r="H165" i="4"/>
  <c r="E165" i="4" s="1"/>
  <c r="A166" i="4"/>
  <c r="B166" i="4"/>
  <c r="C166" i="4"/>
  <c r="D166" i="4"/>
  <c r="F166" i="4"/>
  <c r="G166" i="4"/>
  <c r="H166" i="4"/>
  <c r="E166" i="4" s="1"/>
  <c r="A167" i="4"/>
  <c r="B167" i="4"/>
  <c r="C167" i="4"/>
  <c r="D167" i="4"/>
  <c r="F167" i="4"/>
  <c r="G167" i="4"/>
  <c r="H167" i="4"/>
  <c r="E167" i="4" s="1"/>
  <c r="A168" i="4"/>
  <c r="B168" i="4"/>
  <c r="C168" i="4"/>
  <c r="D168" i="4"/>
  <c r="F168" i="4"/>
  <c r="G168" i="4"/>
  <c r="H168" i="4"/>
  <c r="E168" i="4" s="1"/>
  <c r="A169" i="4"/>
  <c r="B169" i="4"/>
  <c r="C169" i="4"/>
  <c r="D169" i="4"/>
  <c r="F169" i="4"/>
  <c r="G169" i="4"/>
  <c r="H169" i="4"/>
  <c r="E169" i="4" s="1"/>
  <c r="A170" i="4"/>
  <c r="B170" i="4"/>
  <c r="C170" i="4"/>
  <c r="D170" i="4"/>
  <c r="F170" i="4"/>
  <c r="G170" i="4"/>
  <c r="H170" i="4"/>
  <c r="E170" i="4" s="1"/>
  <c r="A171" i="4"/>
  <c r="B171" i="4"/>
  <c r="C171" i="4"/>
  <c r="D171" i="4"/>
  <c r="F171" i="4"/>
  <c r="G171" i="4"/>
  <c r="H171" i="4"/>
  <c r="E171" i="4" s="1"/>
  <c r="A172" i="4"/>
  <c r="B172" i="4"/>
  <c r="C172" i="4"/>
  <c r="D172" i="4"/>
  <c r="F172" i="4"/>
  <c r="G172" i="4"/>
  <c r="H172" i="4"/>
  <c r="E172" i="4" s="1"/>
  <c r="A173" i="4"/>
  <c r="B173" i="4"/>
  <c r="C173" i="4"/>
  <c r="D173" i="4"/>
  <c r="E173" i="4"/>
  <c r="F173" i="4"/>
  <c r="G173" i="4"/>
  <c r="H173" i="4"/>
  <c r="A174" i="4"/>
  <c r="B174" i="4"/>
  <c r="C174" i="4"/>
  <c r="D174" i="4"/>
  <c r="E174" i="4"/>
  <c r="F174" i="4"/>
  <c r="G174" i="4"/>
  <c r="H174" i="4"/>
  <c r="A175" i="4"/>
  <c r="B175" i="4"/>
  <c r="C175" i="4"/>
  <c r="D175" i="4"/>
  <c r="E175" i="4"/>
  <c r="F175" i="4"/>
  <c r="G175" i="4"/>
  <c r="H175" i="4"/>
  <c r="A176" i="4"/>
  <c r="B176" i="4"/>
  <c r="C176" i="4"/>
  <c r="D176" i="4"/>
  <c r="F176" i="4"/>
  <c r="G176" i="4"/>
  <c r="H176" i="4"/>
  <c r="E176" i="4" s="1"/>
  <c r="A177" i="4"/>
  <c r="B177" i="4"/>
  <c r="C177" i="4"/>
  <c r="D177" i="4"/>
  <c r="F177" i="4"/>
  <c r="G177" i="4"/>
  <c r="H177" i="4"/>
  <c r="E177" i="4" s="1"/>
  <c r="A178" i="4"/>
  <c r="B178" i="4"/>
  <c r="C178" i="4"/>
  <c r="D178" i="4"/>
  <c r="F178" i="4"/>
  <c r="G178" i="4"/>
  <c r="H178" i="4"/>
  <c r="E178" i="4" s="1"/>
  <c r="A179" i="4"/>
  <c r="B179" i="4"/>
  <c r="C179" i="4"/>
  <c r="D179" i="4"/>
  <c r="F179" i="4"/>
  <c r="G179" i="4"/>
  <c r="H179" i="4"/>
  <c r="E179" i="4" s="1"/>
  <c r="A180" i="4"/>
  <c r="B180" i="4"/>
  <c r="C180" i="4"/>
  <c r="D180" i="4"/>
  <c r="F180" i="4"/>
  <c r="G180" i="4"/>
  <c r="H180" i="4"/>
  <c r="E180" i="4" s="1"/>
  <c r="A181" i="4"/>
  <c r="B181" i="4"/>
  <c r="C181" i="4"/>
  <c r="D181" i="4"/>
  <c r="F181" i="4"/>
  <c r="G181" i="4"/>
  <c r="H181" i="4"/>
  <c r="E181" i="4" s="1"/>
  <c r="A182" i="4"/>
  <c r="B182" i="4"/>
  <c r="C182" i="4"/>
  <c r="D182" i="4"/>
  <c r="F182" i="4"/>
  <c r="G182" i="4"/>
  <c r="H182" i="4"/>
  <c r="E182" i="4" s="1"/>
  <c r="A183" i="4"/>
  <c r="B183" i="4"/>
  <c r="C183" i="4"/>
  <c r="D183" i="4"/>
  <c r="F183" i="4"/>
  <c r="G183" i="4"/>
  <c r="H183" i="4"/>
  <c r="E183" i="4" s="1"/>
  <c r="A184" i="4"/>
  <c r="B184" i="4"/>
  <c r="C184" i="4"/>
  <c r="D184" i="4"/>
  <c r="F184" i="4"/>
  <c r="G184" i="4"/>
  <c r="H184" i="4"/>
  <c r="E184" i="4" s="1"/>
  <c r="A185" i="4"/>
  <c r="B185" i="4"/>
  <c r="C185" i="4"/>
  <c r="D185" i="4"/>
  <c r="F185" i="4"/>
  <c r="G185" i="4"/>
  <c r="H185" i="4"/>
  <c r="E185" i="4" s="1"/>
  <c r="A186" i="4"/>
  <c r="B186" i="4"/>
  <c r="C186" i="4"/>
  <c r="D186" i="4"/>
  <c r="F186" i="4"/>
  <c r="G186" i="4"/>
  <c r="H186" i="4"/>
  <c r="E186" i="4" s="1"/>
  <c r="A187" i="4"/>
  <c r="B187" i="4"/>
  <c r="C187" i="4"/>
  <c r="D187" i="4"/>
  <c r="F187" i="4"/>
  <c r="G187" i="4"/>
  <c r="H187" i="4"/>
  <c r="E187" i="4" s="1"/>
  <c r="A188" i="4"/>
  <c r="B188" i="4"/>
  <c r="C188" i="4"/>
  <c r="D188" i="4"/>
  <c r="F188" i="4"/>
  <c r="G188" i="4"/>
  <c r="H188" i="4"/>
  <c r="E188" i="4" s="1"/>
  <c r="A189" i="4"/>
  <c r="B189" i="4"/>
  <c r="C189" i="4"/>
  <c r="D189" i="4"/>
  <c r="F189" i="4"/>
  <c r="G189" i="4"/>
  <c r="H189" i="4"/>
  <c r="E189" i="4" s="1"/>
  <c r="A190" i="4"/>
  <c r="B190" i="4"/>
  <c r="C190" i="4"/>
  <c r="D190" i="4"/>
  <c r="F190" i="4"/>
  <c r="G190" i="4"/>
  <c r="H190" i="4"/>
  <c r="E190" i="4" s="1"/>
  <c r="A191" i="4"/>
  <c r="B191" i="4"/>
  <c r="C191" i="4"/>
  <c r="D191" i="4"/>
  <c r="F191" i="4"/>
  <c r="G191" i="4"/>
  <c r="H191" i="4"/>
  <c r="E191" i="4" s="1"/>
  <c r="A192" i="4"/>
  <c r="B192" i="4"/>
  <c r="C192" i="4"/>
  <c r="D192" i="4"/>
  <c r="F192" i="4"/>
  <c r="G192" i="4"/>
  <c r="H192" i="4"/>
  <c r="E192" i="4" s="1"/>
  <c r="A193" i="4"/>
  <c r="B193" i="4"/>
  <c r="C193" i="4"/>
  <c r="D193" i="4"/>
  <c r="F193" i="4"/>
  <c r="G193" i="4"/>
  <c r="H193" i="4"/>
  <c r="E193" i="4" s="1"/>
  <c r="A194" i="4"/>
  <c r="B194" i="4"/>
  <c r="C194" i="4"/>
  <c r="D194" i="4"/>
  <c r="F194" i="4"/>
  <c r="G194" i="4"/>
  <c r="H194" i="4"/>
  <c r="E194" i="4" s="1"/>
  <c r="A195" i="4"/>
  <c r="B195" i="4"/>
  <c r="C195" i="4"/>
  <c r="D195" i="4"/>
  <c r="F195" i="4"/>
  <c r="G195" i="4"/>
  <c r="H195" i="4"/>
  <c r="E195" i="4" s="1"/>
  <c r="A196" i="4"/>
  <c r="B196" i="4"/>
  <c r="C196" i="4"/>
  <c r="D196" i="4"/>
  <c r="F196" i="4"/>
  <c r="G196" i="4"/>
  <c r="H196" i="4"/>
  <c r="E196" i="4" s="1"/>
  <c r="A197" i="4"/>
  <c r="B197" i="4"/>
  <c r="C197" i="4"/>
  <c r="D197" i="4"/>
  <c r="F197" i="4"/>
  <c r="G197" i="4"/>
  <c r="H197" i="4"/>
  <c r="E197" i="4" s="1"/>
  <c r="A198" i="4"/>
  <c r="B198" i="4"/>
  <c r="C198" i="4"/>
  <c r="D198" i="4"/>
  <c r="F198" i="4"/>
  <c r="G198" i="4"/>
  <c r="H198" i="4"/>
  <c r="E198" i="4" s="1"/>
  <c r="A199" i="4"/>
  <c r="B199" i="4"/>
  <c r="C199" i="4"/>
  <c r="D199" i="4"/>
  <c r="F199" i="4"/>
  <c r="G199" i="4"/>
  <c r="H199" i="4"/>
  <c r="E199" i="4" s="1"/>
  <c r="A200" i="4"/>
  <c r="B200" i="4"/>
  <c r="C200" i="4"/>
  <c r="D200" i="4"/>
  <c r="F200" i="4"/>
  <c r="G200" i="4"/>
  <c r="H200" i="4"/>
  <c r="E200" i="4" s="1"/>
  <c r="A201" i="4"/>
  <c r="B201" i="4"/>
  <c r="C201" i="4"/>
  <c r="D201" i="4"/>
  <c r="F201" i="4"/>
  <c r="G201" i="4"/>
  <c r="H201" i="4"/>
  <c r="E201" i="4" s="1"/>
  <c r="A202" i="4"/>
  <c r="B202" i="4"/>
  <c r="C202" i="4"/>
  <c r="D202" i="4"/>
  <c r="F202" i="4"/>
  <c r="G202" i="4"/>
  <c r="H202" i="4"/>
  <c r="E202" i="4" s="1"/>
  <c r="A203" i="4"/>
  <c r="B203" i="4"/>
  <c r="C203" i="4"/>
  <c r="D203" i="4"/>
  <c r="F203" i="4"/>
  <c r="G203" i="4"/>
  <c r="H203" i="4"/>
  <c r="E203" i="4" s="1"/>
  <c r="A204" i="4"/>
  <c r="B204" i="4"/>
  <c r="C204" i="4"/>
  <c r="D204" i="4"/>
  <c r="F204" i="4"/>
  <c r="G204" i="4"/>
  <c r="H204" i="4"/>
  <c r="E204" i="4" s="1"/>
  <c r="A205" i="4"/>
  <c r="B205" i="4"/>
  <c r="C205" i="4"/>
  <c r="D205" i="4"/>
  <c r="F205" i="4"/>
  <c r="G205" i="4"/>
  <c r="H205" i="4"/>
  <c r="E205" i="4" s="1"/>
  <c r="A206" i="4"/>
  <c r="B206" i="4"/>
  <c r="C206" i="4"/>
  <c r="D206" i="4"/>
  <c r="F206" i="4"/>
  <c r="G206" i="4"/>
  <c r="H206" i="4"/>
  <c r="E206" i="4" s="1"/>
  <c r="A207" i="4"/>
  <c r="B207" i="4"/>
  <c r="C207" i="4"/>
  <c r="D207" i="4"/>
  <c r="F207" i="4"/>
  <c r="G207" i="4"/>
  <c r="H207" i="4"/>
  <c r="E207" i="4" s="1"/>
  <c r="A208" i="4"/>
  <c r="B208" i="4"/>
  <c r="C208" i="4"/>
  <c r="D208" i="4"/>
  <c r="F208" i="4"/>
  <c r="G208" i="4"/>
  <c r="H208" i="4"/>
  <c r="E208" i="4" s="1"/>
  <c r="A209" i="4"/>
  <c r="B209" i="4"/>
  <c r="C209" i="4"/>
  <c r="D209" i="4"/>
  <c r="F209" i="4"/>
  <c r="G209" i="4"/>
  <c r="H209" i="4"/>
  <c r="E209" i="4" s="1"/>
  <c r="A210" i="4"/>
  <c r="B210" i="4"/>
  <c r="C210" i="4"/>
  <c r="D210" i="4"/>
  <c r="F210" i="4"/>
  <c r="G210" i="4"/>
  <c r="H210" i="4"/>
  <c r="E210" i="4" s="1"/>
  <c r="A211" i="4"/>
  <c r="B211" i="4"/>
  <c r="C211" i="4"/>
  <c r="D211" i="4"/>
  <c r="F211" i="4"/>
  <c r="G211" i="4"/>
  <c r="H211" i="4"/>
  <c r="E211" i="4" s="1"/>
  <c r="A212" i="4"/>
  <c r="B212" i="4"/>
  <c r="C212" i="4"/>
  <c r="D212" i="4"/>
  <c r="F212" i="4"/>
  <c r="G212" i="4"/>
  <c r="H212" i="4"/>
  <c r="E212" i="4" s="1"/>
  <c r="A213" i="4"/>
  <c r="B213" i="4"/>
  <c r="C213" i="4"/>
  <c r="D213" i="4"/>
  <c r="F213" i="4"/>
  <c r="G213" i="4"/>
  <c r="H213" i="4"/>
  <c r="E213" i="4" s="1"/>
  <c r="A214" i="4"/>
  <c r="B214" i="4"/>
  <c r="C214" i="4"/>
  <c r="D214" i="4"/>
  <c r="F214" i="4"/>
  <c r="G214" i="4"/>
  <c r="H214" i="4"/>
  <c r="E214" i="4" s="1"/>
  <c r="A215" i="4"/>
  <c r="B215" i="4"/>
  <c r="C215" i="4"/>
  <c r="D215" i="4"/>
  <c r="F215" i="4"/>
  <c r="G215" i="4"/>
  <c r="H215" i="4"/>
  <c r="E215" i="4" s="1"/>
  <c r="A216" i="4"/>
  <c r="B216" i="4"/>
  <c r="C216" i="4"/>
  <c r="D216" i="4"/>
  <c r="F216" i="4"/>
  <c r="G216" i="4"/>
  <c r="H216" i="4"/>
  <c r="E216" i="4" s="1"/>
  <c r="A217" i="4"/>
  <c r="B217" i="4"/>
  <c r="C217" i="4"/>
  <c r="D217" i="4"/>
  <c r="F217" i="4"/>
  <c r="G217" i="4"/>
  <c r="H217" i="4"/>
  <c r="E217" i="4" s="1"/>
  <c r="A218" i="4"/>
  <c r="B218" i="4"/>
  <c r="C218" i="4"/>
  <c r="D218" i="4"/>
  <c r="F218" i="4"/>
  <c r="G218" i="4"/>
  <c r="H218" i="4"/>
  <c r="E218" i="4" s="1"/>
  <c r="A219" i="4"/>
  <c r="B219" i="4"/>
  <c r="C219" i="4"/>
  <c r="D219" i="4"/>
  <c r="F219" i="4"/>
  <c r="G219" i="4"/>
  <c r="H219" i="4"/>
  <c r="E219" i="4" s="1"/>
  <c r="A220" i="4"/>
  <c r="B220" i="4"/>
  <c r="C220" i="4"/>
  <c r="D220" i="4"/>
  <c r="F220" i="4"/>
  <c r="G220" i="4"/>
  <c r="H220" i="4"/>
  <c r="E220" i="4" s="1"/>
  <c r="A221" i="4"/>
  <c r="B221" i="4"/>
  <c r="C221" i="4"/>
  <c r="D221" i="4"/>
  <c r="F221" i="4"/>
  <c r="G221" i="4"/>
  <c r="H221" i="4"/>
  <c r="E221" i="4" s="1"/>
  <c r="A222" i="4"/>
  <c r="B222" i="4"/>
  <c r="C222" i="4"/>
  <c r="D222" i="4"/>
  <c r="F222" i="4"/>
  <c r="G222" i="4"/>
  <c r="H222" i="4"/>
  <c r="E222" i="4" s="1"/>
  <c r="A223" i="4"/>
  <c r="B223" i="4"/>
  <c r="C223" i="4"/>
  <c r="D223" i="4"/>
  <c r="F223" i="4"/>
  <c r="G223" i="4"/>
  <c r="H223" i="4"/>
  <c r="E223" i="4" s="1"/>
  <c r="A224" i="4"/>
  <c r="B224" i="4"/>
  <c r="C224" i="4"/>
  <c r="D224" i="4"/>
  <c r="F224" i="4"/>
  <c r="G224" i="4"/>
  <c r="H224" i="4"/>
  <c r="E224" i="4" s="1"/>
  <c r="A225" i="4"/>
  <c r="B225" i="4"/>
  <c r="C225" i="4"/>
  <c r="D225" i="4"/>
  <c r="F225" i="4"/>
  <c r="G225" i="4"/>
  <c r="H225" i="4"/>
  <c r="E225" i="4" s="1"/>
  <c r="A226" i="4"/>
  <c r="B226" i="4"/>
  <c r="C226" i="4"/>
  <c r="D226" i="4"/>
  <c r="F226" i="4"/>
  <c r="G226" i="4"/>
  <c r="H226" i="4"/>
  <c r="E226" i="4" s="1"/>
  <c r="A227" i="4"/>
  <c r="B227" i="4"/>
  <c r="C227" i="4"/>
  <c r="D227" i="4"/>
  <c r="F227" i="4"/>
  <c r="G227" i="4"/>
  <c r="H227" i="4"/>
  <c r="E227" i="4" s="1"/>
  <c r="A228" i="4"/>
  <c r="B228" i="4"/>
  <c r="C228" i="4"/>
  <c r="D228" i="4"/>
  <c r="F228" i="4"/>
  <c r="G228" i="4"/>
  <c r="H228" i="4"/>
  <c r="E228" i="4" s="1"/>
  <c r="A229" i="4"/>
  <c r="B229" i="4"/>
  <c r="C229" i="4"/>
  <c r="D229" i="4"/>
  <c r="F229" i="4"/>
  <c r="G229" i="4"/>
  <c r="H229" i="4"/>
  <c r="E229" i="4" s="1"/>
  <c r="A230" i="4"/>
  <c r="B230" i="4"/>
  <c r="C230" i="4"/>
  <c r="D230" i="4"/>
  <c r="F230" i="4"/>
  <c r="G230" i="4"/>
  <c r="H230" i="4"/>
  <c r="E230" i="4" s="1"/>
  <c r="A231" i="4"/>
  <c r="B231" i="4"/>
  <c r="C231" i="4"/>
  <c r="D231" i="4"/>
  <c r="F231" i="4"/>
  <c r="G231" i="4"/>
  <c r="H231" i="4"/>
  <c r="E231" i="4" s="1"/>
  <c r="A232" i="4"/>
  <c r="B232" i="4"/>
  <c r="C232" i="4"/>
  <c r="D232" i="4"/>
  <c r="F232" i="4"/>
  <c r="G232" i="4"/>
  <c r="H232" i="4"/>
  <c r="E232" i="4" s="1"/>
  <c r="A233" i="4"/>
  <c r="B233" i="4"/>
  <c r="C233" i="4"/>
  <c r="D233" i="4"/>
  <c r="F233" i="4"/>
  <c r="G233" i="4"/>
  <c r="H233" i="4"/>
  <c r="E233" i="4" s="1"/>
  <c r="A234" i="4"/>
  <c r="B234" i="4"/>
  <c r="C234" i="4"/>
  <c r="D234" i="4"/>
  <c r="F234" i="4"/>
  <c r="G234" i="4"/>
  <c r="H234" i="4"/>
  <c r="E234" i="4" s="1"/>
  <c r="A235" i="4"/>
  <c r="B235" i="4"/>
  <c r="C235" i="4"/>
  <c r="D235" i="4"/>
  <c r="F235" i="4"/>
  <c r="G235" i="4"/>
  <c r="H235" i="4"/>
  <c r="E235" i="4" s="1"/>
  <c r="A236" i="4"/>
  <c r="B236" i="4"/>
  <c r="C236" i="4"/>
  <c r="D236" i="4"/>
  <c r="F236" i="4"/>
  <c r="G236" i="4"/>
  <c r="H236" i="4"/>
  <c r="E236" i="4" s="1"/>
  <c r="A237" i="4"/>
  <c r="B237" i="4"/>
  <c r="C237" i="4"/>
  <c r="D237" i="4"/>
  <c r="F237" i="4"/>
  <c r="G237" i="4"/>
  <c r="H237" i="4"/>
  <c r="E237" i="4" s="1"/>
  <c r="A238" i="4"/>
  <c r="B238" i="4"/>
  <c r="C238" i="4"/>
  <c r="D238" i="4"/>
  <c r="F238" i="4"/>
  <c r="G238" i="4"/>
  <c r="H238" i="4"/>
  <c r="E238" i="4" s="1"/>
  <c r="A239" i="4"/>
  <c r="B239" i="4"/>
  <c r="C239" i="4"/>
  <c r="D239" i="4"/>
  <c r="F239" i="4"/>
  <c r="G239" i="4"/>
  <c r="H239" i="4"/>
  <c r="E239" i="4" s="1"/>
  <c r="A240" i="4"/>
  <c r="B240" i="4"/>
  <c r="C240" i="4"/>
  <c r="D240" i="4"/>
  <c r="F240" i="4"/>
  <c r="G240" i="4"/>
  <c r="H240" i="4"/>
  <c r="E240" i="4" s="1"/>
  <c r="A241" i="4"/>
  <c r="B241" i="4"/>
  <c r="C241" i="4"/>
  <c r="D241" i="4"/>
  <c r="F241" i="4"/>
  <c r="G241" i="4"/>
  <c r="H241" i="4"/>
  <c r="E241" i="4" s="1"/>
  <c r="A242" i="4"/>
  <c r="B242" i="4"/>
  <c r="C242" i="4"/>
  <c r="D242" i="4"/>
  <c r="F242" i="4"/>
  <c r="G242" i="4"/>
  <c r="H242" i="4"/>
  <c r="E242" i="4" s="1"/>
  <c r="A243" i="4"/>
  <c r="B243" i="4"/>
  <c r="C243" i="4"/>
  <c r="D243" i="4"/>
  <c r="F243" i="4"/>
  <c r="G243" i="4"/>
  <c r="H243" i="4"/>
  <c r="E243" i="4" s="1"/>
  <c r="A244" i="4"/>
  <c r="B244" i="4"/>
  <c r="C244" i="4"/>
  <c r="D244" i="4"/>
  <c r="F244" i="4"/>
  <c r="G244" i="4"/>
  <c r="H244" i="4"/>
  <c r="E244" i="4" s="1"/>
  <c r="A245" i="4"/>
  <c r="B245" i="4"/>
  <c r="C245" i="4"/>
  <c r="D245" i="4"/>
  <c r="F245" i="4"/>
  <c r="G245" i="4"/>
  <c r="H245" i="4"/>
  <c r="E245" i="4" s="1"/>
  <c r="A246" i="4"/>
  <c r="B246" i="4"/>
  <c r="C246" i="4"/>
  <c r="D246" i="4"/>
  <c r="F246" i="4"/>
  <c r="G246" i="4"/>
  <c r="H246" i="4"/>
  <c r="E246" i="4" s="1"/>
  <c r="A247" i="4"/>
  <c r="B247" i="4"/>
  <c r="C247" i="4"/>
  <c r="D247" i="4"/>
  <c r="F247" i="4"/>
  <c r="G247" i="4"/>
  <c r="H247" i="4"/>
  <c r="E247" i="4" s="1"/>
  <c r="A248" i="4"/>
  <c r="B248" i="4"/>
  <c r="C248" i="4"/>
  <c r="D248" i="4"/>
  <c r="F248" i="4"/>
  <c r="G248" i="4"/>
  <c r="H248" i="4"/>
  <c r="E248" i="4" s="1"/>
  <c r="A249" i="4"/>
  <c r="B249" i="4"/>
  <c r="C249" i="4"/>
  <c r="D249" i="4"/>
  <c r="F249" i="4"/>
  <c r="G249" i="4"/>
  <c r="H249" i="4"/>
  <c r="E249" i="4" s="1"/>
  <c r="A250" i="4"/>
  <c r="B250" i="4"/>
  <c r="C250" i="4"/>
  <c r="D250" i="4"/>
  <c r="F250" i="4"/>
  <c r="G250" i="4"/>
  <c r="H250" i="4"/>
  <c r="E250" i="4" s="1"/>
  <c r="A251" i="4"/>
  <c r="B251" i="4"/>
  <c r="C251" i="4"/>
  <c r="D251" i="4"/>
  <c r="F251" i="4"/>
  <c r="G251" i="4"/>
  <c r="H251" i="4"/>
  <c r="E251" i="4" s="1"/>
  <c r="A252" i="4"/>
  <c r="B252" i="4"/>
  <c r="C252" i="4"/>
  <c r="D252" i="4"/>
  <c r="F252" i="4"/>
  <c r="G252" i="4"/>
  <c r="H252" i="4"/>
  <c r="E252" i="4" s="1"/>
  <c r="A253" i="4"/>
  <c r="B253" i="4"/>
  <c r="C253" i="4"/>
  <c r="D253" i="4"/>
  <c r="F253" i="4"/>
  <c r="G253" i="4"/>
  <c r="H253" i="4"/>
  <c r="E253" i="4" s="1"/>
  <c r="A254" i="4"/>
  <c r="B254" i="4"/>
  <c r="C254" i="4"/>
  <c r="D254" i="4"/>
  <c r="F254" i="4"/>
  <c r="G254" i="4"/>
  <c r="H254" i="4"/>
  <c r="E254" i="4" s="1"/>
  <c r="A255" i="4"/>
  <c r="B255" i="4"/>
  <c r="C255" i="4"/>
  <c r="D255" i="4"/>
  <c r="F255" i="4"/>
  <c r="G255" i="4"/>
  <c r="H255" i="4"/>
  <c r="E255" i="4" s="1"/>
  <c r="A256" i="4"/>
  <c r="B256" i="4"/>
  <c r="C256" i="4"/>
  <c r="D256" i="4"/>
  <c r="F256" i="4"/>
  <c r="G256" i="4"/>
  <c r="H256" i="4"/>
  <c r="E256" i="4" s="1"/>
  <c r="A257" i="4"/>
  <c r="B257" i="4"/>
  <c r="C257" i="4"/>
  <c r="D257" i="4"/>
  <c r="F257" i="4"/>
  <c r="G257" i="4"/>
  <c r="H257" i="4"/>
  <c r="E257" i="4" s="1"/>
  <c r="A258" i="4"/>
  <c r="B258" i="4"/>
  <c r="C258" i="4"/>
  <c r="D258" i="4"/>
  <c r="F258" i="4"/>
  <c r="G258" i="4"/>
  <c r="H258" i="4"/>
  <c r="E258" i="4" s="1"/>
  <c r="A259" i="4"/>
  <c r="B259" i="4"/>
  <c r="C259" i="4"/>
  <c r="D259" i="4"/>
  <c r="F259" i="4"/>
  <c r="G259" i="4"/>
  <c r="H259" i="4"/>
  <c r="E259" i="4" s="1"/>
  <c r="A260" i="4"/>
  <c r="B260" i="4"/>
  <c r="C260" i="4"/>
  <c r="D260" i="4"/>
  <c r="F260" i="4"/>
  <c r="G260" i="4"/>
  <c r="H260" i="4"/>
  <c r="E260" i="4" s="1"/>
  <c r="A261" i="4"/>
  <c r="B261" i="4"/>
  <c r="C261" i="4"/>
  <c r="D261" i="4"/>
  <c r="F261" i="4"/>
  <c r="G261" i="4"/>
  <c r="H261" i="4"/>
  <c r="E261" i="4" s="1"/>
  <c r="A262" i="4"/>
  <c r="B262" i="4"/>
  <c r="C262" i="4"/>
  <c r="D262" i="4"/>
  <c r="F262" i="4"/>
  <c r="G262" i="4"/>
  <c r="H262" i="4"/>
  <c r="E262" i="4" s="1"/>
  <c r="A263" i="4"/>
  <c r="B263" i="4"/>
  <c r="C263" i="4"/>
  <c r="D263" i="4"/>
  <c r="F263" i="4"/>
  <c r="G263" i="4"/>
  <c r="H263" i="4"/>
  <c r="E263" i="4" s="1"/>
  <c r="A264" i="4"/>
  <c r="B264" i="4"/>
  <c r="C264" i="4"/>
  <c r="D264" i="4"/>
  <c r="F264" i="4"/>
  <c r="G264" i="4"/>
  <c r="H264" i="4"/>
  <c r="E264" i="4" s="1"/>
  <c r="A265" i="4"/>
  <c r="B265" i="4"/>
  <c r="C265" i="4"/>
  <c r="D265" i="4"/>
  <c r="F265" i="4"/>
  <c r="G265" i="4"/>
  <c r="H265" i="4"/>
  <c r="E265" i="4" s="1"/>
  <c r="A266" i="4"/>
  <c r="B266" i="4"/>
  <c r="C266" i="4"/>
  <c r="D266" i="4"/>
  <c r="F266" i="4"/>
  <c r="G266" i="4"/>
  <c r="H266" i="4"/>
  <c r="E266" i="4" s="1"/>
  <c r="A267" i="4"/>
  <c r="B267" i="4"/>
  <c r="C267" i="4"/>
  <c r="D267" i="4"/>
  <c r="F267" i="4"/>
  <c r="G267" i="4"/>
  <c r="H267" i="4"/>
  <c r="E267" i="4" s="1"/>
  <c r="A268" i="4"/>
  <c r="B268" i="4"/>
  <c r="C268" i="4"/>
  <c r="D268" i="4"/>
  <c r="F268" i="4"/>
  <c r="G268" i="4"/>
  <c r="H268" i="4"/>
  <c r="E268" i="4" s="1"/>
  <c r="A269" i="4"/>
  <c r="B269" i="4"/>
  <c r="C269" i="4"/>
  <c r="D269" i="4"/>
  <c r="F269" i="4"/>
  <c r="G269" i="4"/>
  <c r="H269" i="4"/>
  <c r="E269" i="4" s="1"/>
  <c r="A270" i="4"/>
  <c r="B270" i="4"/>
  <c r="C270" i="4"/>
  <c r="D270" i="4"/>
  <c r="F270" i="4"/>
  <c r="G270" i="4"/>
  <c r="H270" i="4"/>
  <c r="E270" i="4" s="1"/>
  <c r="A271" i="4"/>
  <c r="B271" i="4"/>
  <c r="C271" i="4"/>
  <c r="D271" i="4"/>
  <c r="F271" i="4"/>
  <c r="G271" i="4"/>
  <c r="H271" i="4"/>
  <c r="E271" i="4" s="1"/>
  <c r="A272" i="4"/>
  <c r="B272" i="4"/>
  <c r="C272" i="4"/>
  <c r="D272" i="4"/>
  <c r="F272" i="4"/>
  <c r="G272" i="4"/>
  <c r="H272" i="4"/>
  <c r="E272" i="4" s="1"/>
  <c r="A273" i="4"/>
  <c r="B273" i="4"/>
  <c r="C273" i="4"/>
  <c r="D273" i="4"/>
  <c r="F273" i="4"/>
  <c r="G273" i="4"/>
  <c r="H273" i="4"/>
  <c r="E273" i="4" s="1"/>
  <c r="A274" i="4"/>
  <c r="B274" i="4"/>
  <c r="C274" i="4"/>
  <c r="D274" i="4"/>
  <c r="F274" i="4"/>
  <c r="G274" i="4"/>
  <c r="H274" i="4"/>
  <c r="E274" i="4" s="1"/>
  <c r="A275" i="4"/>
  <c r="B275" i="4"/>
  <c r="C275" i="4"/>
  <c r="D275" i="4"/>
  <c r="F275" i="4"/>
  <c r="G275" i="4"/>
  <c r="H275" i="4"/>
  <c r="E275" i="4" s="1"/>
  <c r="A276" i="4"/>
  <c r="B276" i="4"/>
  <c r="C276" i="4"/>
  <c r="D276" i="4"/>
  <c r="F276" i="4"/>
  <c r="G276" i="4"/>
  <c r="H276" i="4"/>
  <c r="E276" i="4" s="1"/>
  <c r="A277" i="4"/>
  <c r="B277" i="4"/>
  <c r="C277" i="4"/>
  <c r="D277" i="4"/>
  <c r="F277" i="4"/>
  <c r="G277" i="4"/>
  <c r="H277" i="4"/>
  <c r="E277" i="4" s="1"/>
  <c r="A278" i="4"/>
  <c r="B278" i="4"/>
  <c r="C278" i="4"/>
  <c r="D278" i="4"/>
  <c r="F278" i="4"/>
  <c r="G278" i="4"/>
  <c r="H278" i="4"/>
  <c r="E278" i="4" s="1"/>
  <c r="A279" i="4"/>
  <c r="B279" i="4"/>
  <c r="C279" i="4"/>
  <c r="D279" i="4"/>
  <c r="F279" i="4"/>
  <c r="G279" i="4"/>
  <c r="H279" i="4"/>
  <c r="E279" i="4" s="1"/>
  <c r="A280" i="4"/>
  <c r="B280" i="4"/>
  <c r="C280" i="4"/>
  <c r="D280" i="4"/>
  <c r="F280" i="4"/>
  <c r="G280" i="4"/>
  <c r="H280" i="4"/>
  <c r="E280" i="4" s="1"/>
  <c r="A281" i="4"/>
  <c r="B281" i="4"/>
  <c r="C281" i="4"/>
  <c r="D281" i="4"/>
  <c r="F281" i="4"/>
  <c r="G281" i="4"/>
  <c r="H281" i="4"/>
  <c r="E281" i="4" s="1"/>
  <c r="A282" i="4"/>
  <c r="B282" i="4"/>
  <c r="C282" i="4"/>
  <c r="D282" i="4"/>
  <c r="F282" i="4"/>
  <c r="G282" i="4"/>
  <c r="H282" i="4"/>
  <c r="E282" i="4" s="1"/>
  <c r="A283" i="4"/>
  <c r="B283" i="4"/>
  <c r="C283" i="4"/>
  <c r="D283" i="4"/>
  <c r="F283" i="4"/>
  <c r="G283" i="4"/>
  <c r="H283" i="4"/>
  <c r="E283" i="4" s="1"/>
  <c r="A284" i="4"/>
  <c r="B284" i="4"/>
  <c r="C284" i="4"/>
  <c r="D284" i="4"/>
  <c r="F284" i="4"/>
  <c r="G284" i="4"/>
  <c r="H284" i="4"/>
  <c r="E284" i="4" s="1"/>
  <c r="A285" i="4"/>
  <c r="B285" i="4"/>
  <c r="C285" i="4"/>
  <c r="D285" i="4"/>
  <c r="F285" i="4"/>
  <c r="G285" i="4"/>
  <c r="H285" i="4"/>
  <c r="E285" i="4" s="1"/>
  <c r="A286" i="4"/>
  <c r="B286" i="4"/>
  <c r="C286" i="4"/>
  <c r="D286" i="4"/>
  <c r="F286" i="4"/>
  <c r="G286" i="4"/>
  <c r="H286" i="4"/>
  <c r="E286" i="4" s="1"/>
  <c r="A287" i="4"/>
  <c r="B287" i="4"/>
  <c r="C287" i="4"/>
  <c r="D287" i="4"/>
  <c r="F287" i="4"/>
  <c r="G287" i="4"/>
  <c r="H287" i="4"/>
  <c r="E287" i="4" s="1"/>
  <c r="A288" i="4"/>
  <c r="B288" i="4"/>
  <c r="C288" i="4"/>
  <c r="D288" i="4"/>
  <c r="F288" i="4"/>
  <c r="G288" i="4"/>
  <c r="H288" i="4"/>
  <c r="E288" i="4" s="1"/>
  <c r="A289" i="4"/>
  <c r="B289" i="4"/>
  <c r="C289" i="4"/>
  <c r="D289" i="4"/>
  <c r="F289" i="4"/>
  <c r="G289" i="4"/>
  <c r="H289" i="4"/>
  <c r="E289" i="4" s="1"/>
  <c r="A290" i="4"/>
  <c r="B290" i="4"/>
  <c r="C290" i="4"/>
  <c r="D290" i="4"/>
  <c r="F290" i="4"/>
  <c r="G290" i="4"/>
  <c r="H290" i="4"/>
  <c r="E290" i="4" s="1"/>
  <c r="A291" i="4"/>
  <c r="B291" i="4"/>
  <c r="C291" i="4"/>
  <c r="D291" i="4"/>
  <c r="F291" i="4"/>
  <c r="G291" i="4"/>
  <c r="H291" i="4"/>
  <c r="E291" i="4" s="1"/>
  <c r="A292" i="4"/>
  <c r="B292" i="4"/>
  <c r="C292" i="4"/>
  <c r="D292" i="4"/>
  <c r="F292" i="4"/>
  <c r="G292" i="4"/>
  <c r="H292" i="4"/>
  <c r="E292" i="4" s="1"/>
  <c r="A293" i="4"/>
  <c r="B293" i="4"/>
  <c r="C293" i="4"/>
  <c r="D293" i="4"/>
  <c r="F293" i="4"/>
  <c r="G293" i="4"/>
  <c r="H293" i="4"/>
  <c r="E293" i="4" s="1"/>
  <c r="A294" i="4"/>
  <c r="B294" i="4"/>
  <c r="C294" i="4"/>
  <c r="D294" i="4"/>
  <c r="F294" i="4"/>
  <c r="G294" i="4"/>
  <c r="H294" i="4"/>
  <c r="E294" i="4" s="1"/>
  <c r="A295" i="4"/>
  <c r="B295" i="4"/>
  <c r="C295" i="4"/>
  <c r="D295" i="4"/>
  <c r="F295" i="4"/>
  <c r="G295" i="4"/>
  <c r="H295" i="4"/>
  <c r="E295" i="4" s="1"/>
  <c r="A296" i="4"/>
  <c r="B296" i="4"/>
  <c r="C296" i="4"/>
  <c r="D296" i="4"/>
  <c r="F296" i="4"/>
  <c r="G296" i="4"/>
  <c r="H296" i="4"/>
  <c r="E296" i="4" s="1"/>
  <c r="A297" i="4"/>
  <c r="B297" i="4"/>
  <c r="C297" i="4"/>
  <c r="D297" i="4"/>
  <c r="F297" i="4"/>
  <c r="G297" i="4"/>
  <c r="H297" i="4"/>
  <c r="E297" i="4" s="1"/>
  <c r="A298" i="4"/>
  <c r="B298" i="4"/>
  <c r="C298" i="4"/>
  <c r="D298" i="4"/>
  <c r="F298" i="4"/>
  <c r="G298" i="4"/>
  <c r="H298" i="4"/>
  <c r="E298" i="4" s="1"/>
  <c r="A299" i="4"/>
  <c r="B299" i="4"/>
  <c r="C299" i="4"/>
  <c r="D299" i="4"/>
  <c r="F299" i="4"/>
  <c r="G299" i="4"/>
  <c r="H299" i="4"/>
  <c r="E299" i="4" s="1"/>
  <c r="A300" i="4"/>
  <c r="B300" i="4"/>
  <c r="C300" i="4"/>
  <c r="D300" i="4"/>
  <c r="F300" i="4"/>
  <c r="G300" i="4"/>
  <c r="H300" i="4"/>
  <c r="E300" i="4" s="1"/>
  <c r="A301" i="4"/>
  <c r="B301" i="4"/>
  <c r="C301" i="4"/>
  <c r="D301" i="4"/>
  <c r="F301" i="4"/>
  <c r="G301" i="4"/>
  <c r="H301" i="4"/>
  <c r="E301" i="4" s="1"/>
  <c r="A302" i="4"/>
  <c r="B302" i="4"/>
  <c r="C302" i="4"/>
  <c r="D302" i="4"/>
  <c r="F302" i="4"/>
  <c r="G302" i="4"/>
  <c r="H302" i="4"/>
  <c r="E302" i="4" s="1"/>
  <c r="A303" i="4"/>
  <c r="B303" i="4"/>
  <c r="C303" i="4"/>
  <c r="D303" i="4"/>
  <c r="F303" i="4"/>
  <c r="G303" i="4"/>
  <c r="H303" i="4"/>
  <c r="E303" i="4" s="1"/>
  <c r="A304" i="4"/>
  <c r="B304" i="4"/>
  <c r="C304" i="4"/>
  <c r="D304" i="4"/>
  <c r="F304" i="4"/>
  <c r="G304" i="4"/>
  <c r="H304" i="4"/>
  <c r="E304" i="4" s="1"/>
  <c r="A305" i="4"/>
  <c r="B305" i="4"/>
  <c r="C305" i="4"/>
  <c r="D305" i="4"/>
  <c r="F305" i="4"/>
  <c r="G305" i="4"/>
  <c r="H305" i="4"/>
  <c r="E305" i="4" s="1"/>
  <c r="A306" i="4"/>
  <c r="B306" i="4"/>
  <c r="C306" i="4"/>
  <c r="D306" i="4"/>
  <c r="F306" i="4"/>
  <c r="G306" i="4"/>
  <c r="H306" i="4"/>
  <c r="E306" i="4" s="1"/>
  <c r="A307" i="4"/>
  <c r="B307" i="4"/>
  <c r="C307" i="4"/>
  <c r="D307" i="4"/>
  <c r="F307" i="4"/>
  <c r="G307" i="4"/>
  <c r="H307" i="4"/>
  <c r="E307" i="4" s="1"/>
  <c r="A308" i="4"/>
  <c r="B308" i="4"/>
  <c r="C308" i="4"/>
  <c r="D308" i="4"/>
  <c r="F308" i="4"/>
  <c r="G308" i="4"/>
  <c r="H308" i="4"/>
  <c r="E308" i="4" s="1"/>
  <c r="A309" i="4"/>
  <c r="B309" i="4"/>
  <c r="C309" i="4"/>
  <c r="D309" i="4"/>
  <c r="F309" i="4"/>
  <c r="G309" i="4"/>
  <c r="H309" i="4"/>
  <c r="E309" i="4" s="1"/>
  <c r="A310" i="4"/>
  <c r="B310" i="4"/>
  <c r="C310" i="4"/>
  <c r="D310" i="4"/>
  <c r="F310" i="4"/>
  <c r="G310" i="4"/>
  <c r="H310" i="4"/>
  <c r="E310" i="4" s="1"/>
  <c r="A311" i="4"/>
  <c r="B311" i="4"/>
  <c r="C311" i="4"/>
  <c r="D311" i="4"/>
  <c r="F311" i="4"/>
  <c r="G311" i="4"/>
  <c r="H311" i="4"/>
  <c r="E311" i="4" s="1"/>
  <c r="A312" i="4"/>
  <c r="B312" i="4"/>
  <c r="C312" i="4"/>
  <c r="D312" i="4"/>
  <c r="F312" i="4"/>
  <c r="G312" i="4"/>
  <c r="H312" i="4"/>
  <c r="E312" i="4" s="1"/>
  <c r="A313" i="4"/>
  <c r="B313" i="4"/>
  <c r="C313" i="4"/>
  <c r="D313" i="4"/>
  <c r="F313" i="4"/>
  <c r="G313" i="4"/>
  <c r="H313" i="4"/>
  <c r="E313" i="4" s="1"/>
  <c r="A314" i="4"/>
  <c r="B314" i="4"/>
  <c r="C314" i="4"/>
  <c r="D314" i="4"/>
  <c r="F314" i="4"/>
  <c r="G314" i="4"/>
  <c r="H314" i="4"/>
  <c r="E314" i="4" s="1"/>
  <c r="A315" i="4"/>
  <c r="B315" i="4"/>
  <c r="C315" i="4"/>
  <c r="D315" i="4"/>
  <c r="F315" i="4"/>
  <c r="G315" i="4"/>
  <c r="H315" i="4"/>
  <c r="E315" i="4" s="1"/>
  <c r="A316" i="4"/>
  <c r="B316" i="4"/>
  <c r="C316" i="4"/>
  <c r="D316" i="4"/>
  <c r="F316" i="4"/>
  <c r="G316" i="4"/>
  <c r="H316" i="4"/>
  <c r="E316" i="4" s="1"/>
  <c r="A317" i="4"/>
  <c r="B317" i="4"/>
  <c r="C317" i="4"/>
  <c r="D317" i="4"/>
  <c r="F317" i="4"/>
  <c r="G317" i="4"/>
  <c r="H317" i="4"/>
  <c r="E317" i="4" s="1"/>
  <c r="A318" i="4"/>
  <c r="B318" i="4"/>
  <c r="C318" i="4"/>
  <c r="D318" i="4"/>
  <c r="F318" i="4"/>
  <c r="G318" i="4"/>
  <c r="H318" i="4"/>
  <c r="E318" i="4" s="1"/>
  <c r="A319" i="4"/>
  <c r="B319" i="4"/>
  <c r="C319" i="4"/>
  <c r="D319" i="4"/>
  <c r="F319" i="4"/>
  <c r="G319" i="4"/>
  <c r="H319" i="4"/>
  <c r="E319" i="4" s="1"/>
  <c r="A320" i="4"/>
  <c r="B320" i="4"/>
  <c r="C320" i="4"/>
  <c r="D320" i="4"/>
  <c r="F320" i="4"/>
  <c r="G320" i="4"/>
  <c r="H320" i="4"/>
  <c r="E320" i="4" s="1"/>
  <c r="A321" i="4"/>
  <c r="B321" i="4"/>
  <c r="C321" i="4"/>
  <c r="D321" i="4"/>
  <c r="F321" i="4"/>
  <c r="G321" i="4"/>
  <c r="H321" i="4"/>
  <c r="E321" i="4" s="1"/>
  <c r="A322" i="4"/>
  <c r="B322" i="4"/>
  <c r="C322" i="4"/>
  <c r="D322" i="4"/>
  <c r="F322" i="4"/>
  <c r="G322" i="4"/>
  <c r="H322" i="4"/>
  <c r="E322" i="4" s="1"/>
  <c r="A323" i="4"/>
  <c r="B323" i="4"/>
  <c r="C323" i="4"/>
  <c r="D323" i="4"/>
  <c r="F323" i="4"/>
  <c r="G323" i="4"/>
  <c r="H323" i="4"/>
  <c r="E323" i="4" s="1"/>
  <c r="A324" i="4"/>
  <c r="B324" i="4"/>
  <c r="C324" i="4"/>
  <c r="D324" i="4"/>
  <c r="F324" i="4"/>
  <c r="G324" i="4"/>
  <c r="H324" i="4"/>
  <c r="E324" i="4" s="1"/>
  <c r="A325" i="4"/>
  <c r="B325" i="4"/>
  <c r="C325" i="4"/>
  <c r="D325" i="4"/>
  <c r="F325" i="4"/>
  <c r="G325" i="4"/>
  <c r="H325" i="4"/>
  <c r="E325" i="4" s="1"/>
  <c r="A326" i="4"/>
  <c r="B326" i="4"/>
  <c r="C326" i="4"/>
  <c r="D326" i="4"/>
  <c r="F326" i="4"/>
  <c r="G326" i="4"/>
  <c r="H326" i="4"/>
  <c r="E326" i="4" s="1"/>
  <c r="A327" i="4"/>
  <c r="B327" i="4"/>
  <c r="C327" i="4"/>
  <c r="D327" i="4"/>
  <c r="F327" i="4"/>
  <c r="G327" i="4"/>
  <c r="H327" i="4"/>
  <c r="E327" i="4" s="1"/>
  <c r="A328" i="4"/>
  <c r="B328" i="4"/>
  <c r="C328" i="4"/>
  <c r="D328" i="4"/>
  <c r="F328" i="4"/>
  <c r="G328" i="4"/>
  <c r="H328" i="4"/>
  <c r="E328" i="4" s="1"/>
  <c r="A329" i="4"/>
  <c r="B329" i="4"/>
  <c r="C329" i="4"/>
  <c r="D329" i="4"/>
  <c r="F329" i="4"/>
  <c r="G329" i="4"/>
  <c r="H329" i="4"/>
  <c r="E329" i="4" s="1"/>
  <c r="A330" i="4"/>
  <c r="B330" i="4"/>
  <c r="C330" i="4"/>
  <c r="D330" i="4"/>
  <c r="F330" i="4"/>
  <c r="G330" i="4"/>
  <c r="H330" i="4"/>
  <c r="E330" i="4" s="1"/>
  <c r="A331" i="4"/>
  <c r="B331" i="4"/>
  <c r="C331" i="4"/>
  <c r="D331" i="4"/>
  <c r="F331" i="4"/>
  <c r="G331" i="4"/>
  <c r="H331" i="4"/>
  <c r="E331" i="4" s="1"/>
  <c r="A332" i="4"/>
  <c r="B332" i="4"/>
  <c r="C332" i="4"/>
  <c r="D332" i="4"/>
  <c r="F332" i="4"/>
  <c r="G332" i="4"/>
  <c r="H332" i="4"/>
  <c r="E332" i="4" s="1"/>
  <c r="A333" i="4"/>
  <c r="B333" i="4"/>
  <c r="C333" i="4"/>
  <c r="D333" i="4"/>
  <c r="F333" i="4"/>
  <c r="G333" i="4"/>
  <c r="H333" i="4"/>
  <c r="E333" i="4" s="1"/>
  <c r="A334" i="4"/>
  <c r="B334" i="4"/>
  <c r="C334" i="4"/>
  <c r="D334" i="4"/>
  <c r="F334" i="4"/>
  <c r="G334" i="4"/>
  <c r="H334" i="4"/>
  <c r="E334" i="4" s="1"/>
  <c r="A335" i="4"/>
  <c r="B335" i="4"/>
  <c r="C335" i="4"/>
  <c r="D335" i="4"/>
  <c r="F335" i="4"/>
  <c r="G335" i="4"/>
  <c r="H335" i="4"/>
  <c r="E335" i="4" s="1"/>
  <c r="A336" i="4"/>
  <c r="B336" i="4"/>
  <c r="C336" i="4"/>
  <c r="D336" i="4"/>
  <c r="F336" i="4"/>
  <c r="G336" i="4"/>
  <c r="H336" i="4"/>
  <c r="E336" i="4" s="1"/>
  <c r="A337" i="4"/>
  <c r="B337" i="4"/>
  <c r="C337" i="4"/>
  <c r="D337" i="4"/>
  <c r="F337" i="4"/>
  <c r="G337" i="4"/>
  <c r="H337" i="4"/>
  <c r="E337" i="4" s="1"/>
  <c r="A338" i="4"/>
  <c r="B338" i="4"/>
  <c r="C338" i="4"/>
  <c r="D338" i="4"/>
  <c r="F338" i="4"/>
  <c r="G338" i="4"/>
  <c r="H338" i="4"/>
  <c r="E338" i="4" s="1"/>
  <c r="A339" i="4"/>
  <c r="B339" i="4"/>
  <c r="C339" i="4"/>
  <c r="D339" i="4"/>
  <c r="F339" i="4"/>
  <c r="G339" i="4"/>
  <c r="H339" i="4"/>
  <c r="E339" i="4" s="1"/>
  <c r="A340" i="4"/>
  <c r="B340" i="4"/>
  <c r="C340" i="4"/>
  <c r="D340" i="4"/>
  <c r="F340" i="4"/>
  <c r="G340" i="4"/>
  <c r="H340" i="4"/>
  <c r="E340" i="4" s="1"/>
  <c r="A341" i="4"/>
  <c r="B341" i="4"/>
  <c r="C341" i="4"/>
  <c r="D341" i="4"/>
  <c r="F341" i="4"/>
  <c r="G341" i="4"/>
  <c r="H341" i="4"/>
  <c r="E341" i="4" s="1"/>
  <c r="A342" i="4"/>
  <c r="B342" i="4"/>
  <c r="C342" i="4"/>
  <c r="D342" i="4"/>
  <c r="F342" i="4"/>
  <c r="G342" i="4"/>
  <c r="H342" i="4"/>
  <c r="E342" i="4" s="1"/>
  <c r="A343" i="4"/>
  <c r="B343" i="4"/>
  <c r="C343" i="4"/>
  <c r="D343" i="4"/>
  <c r="F343" i="4"/>
  <c r="G343" i="4"/>
  <c r="H343" i="4"/>
  <c r="E343" i="4" s="1"/>
  <c r="A344" i="4"/>
  <c r="B344" i="4"/>
  <c r="C344" i="4"/>
  <c r="D344" i="4"/>
  <c r="F344" i="4"/>
  <c r="G344" i="4"/>
  <c r="H344" i="4"/>
  <c r="E344" i="4" s="1"/>
  <c r="A345" i="4"/>
  <c r="B345" i="4"/>
  <c r="C345" i="4"/>
  <c r="D345" i="4"/>
  <c r="F345" i="4"/>
  <c r="G345" i="4"/>
  <c r="H345" i="4"/>
  <c r="E345" i="4" s="1"/>
  <c r="A346" i="4"/>
  <c r="B346" i="4"/>
  <c r="C346" i="4"/>
  <c r="D346" i="4"/>
  <c r="E346" i="4"/>
  <c r="F346" i="4"/>
  <c r="G346" i="4"/>
  <c r="H346" i="4"/>
  <c r="A347" i="4"/>
  <c r="B347" i="4"/>
  <c r="C347" i="4"/>
  <c r="D347" i="4"/>
  <c r="F347" i="4"/>
  <c r="G347" i="4"/>
  <c r="H347" i="4"/>
  <c r="E347" i="4" s="1"/>
  <c r="A348" i="4"/>
  <c r="B348" i="4"/>
  <c r="C348" i="4"/>
  <c r="D348" i="4"/>
  <c r="F348" i="4"/>
  <c r="G348" i="4"/>
  <c r="H348" i="4"/>
  <c r="E348" i="4" s="1"/>
  <c r="A349" i="4"/>
  <c r="B349" i="4"/>
  <c r="C349" i="4"/>
  <c r="D349" i="4"/>
  <c r="F349" i="4"/>
  <c r="G349" i="4"/>
  <c r="H349" i="4"/>
  <c r="E349" i="4" s="1"/>
  <c r="A350" i="4"/>
  <c r="B350" i="4"/>
  <c r="C350" i="4"/>
  <c r="D350" i="4"/>
  <c r="F350" i="4"/>
  <c r="G350" i="4"/>
  <c r="H350" i="4"/>
  <c r="E350" i="4" s="1"/>
  <c r="A351" i="4"/>
  <c r="B351" i="4"/>
  <c r="C351" i="4"/>
  <c r="D351" i="4"/>
  <c r="F351" i="4"/>
  <c r="G351" i="4"/>
  <c r="H351" i="4"/>
  <c r="E351" i="4" s="1"/>
  <c r="A352" i="4"/>
  <c r="B352" i="4"/>
  <c r="C352" i="4"/>
  <c r="D352" i="4"/>
  <c r="F352" i="4"/>
  <c r="G352" i="4"/>
  <c r="H352" i="4"/>
  <c r="E352" i="4" s="1"/>
  <c r="A353" i="4"/>
  <c r="B353" i="4"/>
  <c r="C353" i="4"/>
  <c r="D353" i="4"/>
  <c r="F353" i="4"/>
  <c r="G353" i="4"/>
  <c r="H353" i="4"/>
  <c r="E353" i="4" s="1"/>
  <c r="A354" i="4"/>
  <c r="B354" i="4"/>
  <c r="C354" i="4"/>
  <c r="D354" i="4"/>
  <c r="F354" i="4"/>
  <c r="G354" i="4"/>
  <c r="H354" i="4"/>
  <c r="E354" i="4" s="1"/>
  <c r="A355" i="4"/>
  <c r="B355" i="4"/>
  <c r="C355" i="4"/>
  <c r="D355" i="4"/>
  <c r="F355" i="4"/>
  <c r="G355" i="4"/>
  <c r="H355" i="4"/>
  <c r="E355" i="4" s="1"/>
  <c r="A356" i="4"/>
  <c r="B356" i="4"/>
  <c r="C356" i="4"/>
  <c r="D356" i="4"/>
  <c r="F356" i="4"/>
  <c r="G356" i="4"/>
  <c r="H356" i="4"/>
  <c r="E356" i="4" s="1"/>
  <c r="A357" i="4"/>
  <c r="B357" i="4"/>
  <c r="C357" i="4"/>
  <c r="D357" i="4"/>
  <c r="F357" i="4"/>
  <c r="G357" i="4"/>
  <c r="H357" i="4"/>
  <c r="E357" i="4" s="1"/>
  <c r="A358" i="4"/>
  <c r="B358" i="4"/>
  <c r="C358" i="4"/>
  <c r="D358" i="4"/>
  <c r="F358" i="4"/>
  <c r="G358" i="4"/>
  <c r="H358" i="4"/>
  <c r="E358" i="4" s="1"/>
  <c r="A359" i="4"/>
  <c r="B359" i="4"/>
  <c r="C359" i="4"/>
  <c r="D359" i="4"/>
  <c r="F359" i="4"/>
  <c r="G359" i="4"/>
  <c r="H359" i="4"/>
  <c r="E359" i="4" s="1"/>
  <c r="A360" i="4"/>
  <c r="B360" i="4"/>
  <c r="C360" i="4"/>
  <c r="D360" i="4"/>
  <c r="F360" i="4"/>
  <c r="G360" i="4"/>
  <c r="H360" i="4"/>
  <c r="E360" i="4" s="1"/>
  <c r="A361" i="4"/>
  <c r="B361" i="4"/>
  <c r="C361" i="4"/>
  <c r="D361" i="4"/>
  <c r="F361" i="4"/>
  <c r="G361" i="4"/>
  <c r="H361" i="4"/>
  <c r="E361" i="4" s="1"/>
  <c r="A362" i="4"/>
  <c r="B362" i="4"/>
  <c r="C362" i="4"/>
  <c r="D362" i="4"/>
  <c r="F362" i="4"/>
  <c r="G362" i="4"/>
  <c r="H362" i="4"/>
  <c r="E362" i="4" s="1"/>
  <c r="A363" i="4"/>
  <c r="B363" i="4"/>
  <c r="C363" i="4"/>
  <c r="D363" i="4"/>
  <c r="F363" i="4"/>
  <c r="G363" i="4"/>
  <c r="H363" i="4"/>
  <c r="E363" i="4" s="1"/>
  <c r="A364" i="4"/>
  <c r="B364" i="4"/>
  <c r="C364" i="4"/>
  <c r="D364" i="4"/>
  <c r="F364" i="4"/>
  <c r="G364" i="4"/>
  <c r="H364" i="4"/>
  <c r="E364" i="4" s="1"/>
  <c r="A365" i="4"/>
  <c r="B365" i="4"/>
  <c r="C365" i="4"/>
  <c r="D365" i="4"/>
  <c r="F365" i="4"/>
  <c r="G365" i="4"/>
  <c r="H365" i="4"/>
  <c r="E365" i="4" s="1"/>
  <c r="A366" i="4"/>
  <c r="B366" i="4"/>
  <c r="C366" i="4"/>
  <c r="D366" i="4"/>
  <c r="F366" i="4"/>
  <c r="G366" i="4"/>
  <c r="H366" i="4"/>
  <c r="E366" i="4" s="1"/>
  <c r="A367" i="4"/>
  <c r="B367" i="4"/>
  <c r="C367" i="4"/>
  <c r="D367" i="4"/>
  <c r="F367" i="4"/>
  <c r="G367" i="4"/>
  <c r="H367" i="4"/>
  <c r="E367" i="4" s="1"/>
  <c r="A368" i="4"/>
  <c r="B368" i="4"/>
  <c r="C368" i="4"/>
  <c r="D368" i="4"/>
  <c r="F368" i="4"/>
  <c r="G368" i="4"/>
  <c r="H368" i="4"/>
  <c r="E368" i="4" s="1"/>
  <c r="A369" i="4"/>
  <c r="B369" i="4"/>
  <c r="C369" i="4"/>
  <c r="D369" i="4"/>
  <c r="F369" i="4"/>
  <c r="G369" i="4"/>
  <c r="H369" i="4"/>
  <c r="E369" i="4" s="1"/>
  <c r="A370" i="4"/>
  <c r="B370" i="4"/>
  <c r="C370" i="4"/>
  <c r="D370" i="4"/>
  <c r="F370" i="4"/>
  <c r="G370" i="4"/>
  <c r="H370" i="4"/>
  <c r="E370" i="4" s="1"/>
  <c r="A371" i="4"/>
  <c r="B371" i="4"/>
  <c r="C371" i="4"/>
  <c r="D371" i="4"/>
  <c r="F371" i="4"/>
  <c r="G371" i="4"/>
  <c r="H371" i="4"/>
  <c r="E371" i="4" s="1"/>
  <c r="A372" i="4"/>
  <c r="B372" i="4"/>
  <c r="C372" i="4"/>
  <c r="D372" i="4"/>
  <c r="F372" i="4"/>
  <c r="G372" i="4"/>
  <c r="H372" i="4"/>
  <c r="E372" i="4" s="1"/>
  <c r="A373" i="4"/>
  <c r="B373" i="4"/>
  <c r="C373" i="4"/>
  <c r="D373" i="4"/>
  <c r="F373" i="4"/>
  <c r="G373" i="4"/>
  <c r="H373" i="4"/>
  <c r="E373" i="4" s="1"/>
  <c r="A374" i="4"/>
  <c r="B374" i="4"/>
  <c r="C374" i="4"/>
  <c r="D374" i="4"/>
  <c r="F374" i="4"/>
  <c r="G374" i="4"/>
  <c r="H374" i="4"/>
  <c r="E374" i="4" s="1"/>
  <c r="A375" i="4"/>
  <c r="B375" i="4"/>
  <c r="C375" i="4"/>
  <c r="D375" i="4"/>
  <c r="F375" i="4"/>
  <c r="G375" i="4"/>
  <c r="H375" i="4"/>
  <c r="E375" i="4" s="1"/>
  <c r="A376" i="4"/>
  <c r="B376" i="4"/>
  <c r="C376" i="4"/>
  <c r="D376" i="4"/>
  <c r="F376" i="4"/>
  <c r="G376" i="4"/>
  <c r="H376" i="4"/>
  <c r="E376" i="4" s="1"/>
  <c r="A377" i="4"/>
  <c r="B377" i="4"/>
  <c r="C377" i="4"/>
  <c r="D377" i="4"/>
  <c r="F377" i="4"/>
  <c r="G377" i="4"/>
  <c r="H377" i="4"/>
  <c r="E377" i="4" s="1"/>
  <c r="A378" i="4"/>
  <c r="B378" i="4"/>
  <c r="C378" i="4"/>
  <c r="D378" i="4"/>
  <c r="F378" i="4"/>
  <c r="G378" i="4"/>
  <c r="H378" i="4"/>
  <c r="E378" i="4" s="1"/>
  <c r="A379" i="4"/>
  <c r="B379" i="4"/>
  <c r="C379" i="4"/>
  <c r="D379" i="4"/>
  <c r="F379" i="4"/>
  <c r="G379" i="4"/>
  <c r="H379" i="4"/>
  <c r="E379" i="4" s="1"/>
  <c r="A380" i="4"/>
  <c r="B380" i="4"/>
  <c r="C380" i="4"/>
  <c r="D380" i="4"/>
  <c r="F380" i="4"/>
  <c r="G380" i="4"/>
  <c r="H380" i="4"/>
  <c r="E380" i="4" s="1"/>
  <c r="A381" i="4"/>
  <c r="B381" i="4"/>
  <c r="C381" i="4"/>
  <c r="D381" i="4"/>
  <c r="F381" i="4"/>
  <c r="G381" i="4"/>
  <c r="H381" i="4"/>
  <c r="E381" i="4" s="1"/>
  <c r="A382" i="4"/>
  <c r="B382" i="4"/>
  <c r="C382" i="4"/>
  <c r="D382" i="4"/>
  <c r="F382" i="4"/>
  <c r="G382" i="4"/>
  <c r="H382" i="4"/>
  <c r="E382" i="4" s="1"/>
  <c r="A383" i="4"/>
  <c r="B383" i="4"/>
  <c r="C383" i="4"/>
  <c r="D383" i="4"/>
  <c r="F383" i="4"/>
  <c r="G383" i="4"/>
  <c r="H383" i="4"/>
  <c r="E383" i="4" s="1"/>
  <c r="A384" i="4"/>
  <c r="B384" i="4"/>
  <c r="C384" i="4"/>
  <c r="D384" i="4"/>
  <c r="F384" i="4"/>
  <c r="G384" i="4"/>
  <c r="H384" i="4"/>
  <c r="E384" i="4" s="1"/>
  <c r="A385" i="4"/>
  <c r="B385" i="4"/>
  <c r="C385" i="4"/>
  <c r="D385" i="4"/>
  <c r="F385" i="4"/>
  <c r="G385" i="4"/>
  <c r="H385" i="4"/>
  <c r="E385" i="4" s="1"/>
  <c r="A386" i="4"/>
  <c r="B386" i="4"/>
  <c r="C386" i="4"/>
  <c r="D386" i="4"/>
  <c r="F386" i="4"/>
  <c r="G386" i="4"/>
  <c r="H386" i="4"/>
  <c r="E386" i="4" s="1"/>
  <c r="A387" i="4"/>
  <c r="B387" i="4"/>
  <c r="C387" i="4"/>
  <c r="D387" i="4"/>
  <c r="F387" i="4"/>
  <c r="G387" i="4"/>
  <c r="H387" i="4"/>
  <c r="E387" i="4" s="1"/>
  <c r="A388" i="4"/>
  <c r="B388" i="4"/>
  <c r="C388" i="4"/>
  <c r="D388" i="4"/>
  <c r="F388" i="4"/>
  <c r="G388" i="4"/>
  <c r="H388" i="4"/>
  <c r="E388" i="4" s="1"/>
  <c r="A389" i="4"/>
  <c r="B389" i="4"/>
  <c r="C389" i="4"/>
  <c r="D389" i="4"/>
  <c r="F389" i="4"/>
  <c r="G389" i="4"/>
  <c r="H389" i="4"/>
  <c r="E389" i="4" s="1"/>
  <c r="A390" i="4"/>
  <c r="B390" i="4"/>
  <c r="C390" i="4"/>
  <c r="D390" i="4"/>
  <c r="F390" i="4"/>
  <c r="G390" i="4"/>
  <c r="H390" i="4"/>
  <c r="E390" i="4" s="1"/>
  <c r="A391" i="4"/>
  <c r="B391" i="4"/>
  <c r="C391" i="4"/>
  <c r="D391" i="4"/>
  <c r="F391" i="4"/>
  <c r="G391" i="4"/>
  <c r="H391" i="4"/>
  <c r="E391" i="4" s="1"/>
  <c r="A392" i="4"/>
  <c r="B392" i="4"/>
  <c r="C392" i="4"/>
  <c r="D392" i="4"/>
  <c r="F392" i="4"/>
  <c r="G392" i="4"/>
  <c r="H392" i="4"/>
  <c r="E392" i="4" s="1"/>
  <c r="A393" i="4"/>
  <c r="B393" i="4"/>
  <c r="C393" i="4"/>
  <c r="D393" i="4"/>
  <c r="F393" i="4"/>
  <c r="G393" i="4"/>
  <c r="H393" i="4"/>
  <c r="E393" i="4" s="1"/>
  <c r="A394" i="4"/>
  <c r="B394" i="4"/>
  <c r="C394" i="4"/>
  <c r="D394" i="4"/>
  <c r="F394" i="4"/>
  <c r="G394" i="4"/>
  <c r="H394" i="4"/>
  <c r="E394" i="4" s="1"/>
  <c r="A395" i="4"/>
  <c r="B395" i="4"/>
  <c r="C395" i="4"/>
  <c r="D395" i="4"/>
  <c r="F395" i="4"/>
  <c r="G395" i="4"/>
  <c r="H395" i="4"/>
  <c r="E395" i="4" s="1"/>
  <c r="A396" i="4"/>
  <c r="B396" i="4"/>
  <c r="C396" i="4"/>
  <c r="D396" i="4"/>
  <c r="F396" i="4"/>
  <c r="G396" i="4"/>
  <c r="H396" i="4"/>
  <c r="E396" i="4" s="1"/>
  <c r="A397" i="4"/>
  <c r="B397" i="4"/>
  <c r="C397" i="4"/>
  <c r="D397" i="4"/>
  <c r="F397" i="4"/>
  <c r="G397" i="4"/>
  <c r="H397" i="4"/>
  <c r="E397" i="4" s="1"/>
  <c r="A398" i="4"/>
  <c r="B398" i="4"/>
  <c r="C398" i="4"/>
  <c r="D398" i="4"/>
  <c r="F398" i="4"/>
  <c r="G398" i="4"/>
  <c r="H398" i="4"/>
  <c r="E398" i="4" s="1"/>
  <c r="A399" i="4"/>
  <c r="B399" i="4"/>
  <c r="C399" i="4"/>
  <c r="D399" i="4"/>
  <c r="F399" i="4"/>
  <c r="G399" i="4"/>
  <c r="H399" i="4"/>
  <c r="E399" i="4" s="1"/>
  <c r="A400" i="4"/>
  <c r="B400" i="4"/>
  <c r="C400" i="4"/>
  <c r="D400" i="4"/>
  <c r="F400" i="4"/>
  <c r="G400" i="4"/>
  <c r="H400" i="4"/>
  <c r="E400" i="4" s="1"/>
  <c r="A401" i="4"/>
  <c r="B401" i="4"/>
  <c r="C401" i="4"/>
  <c r="D401" i="4"/>
  <c r="F401" i="4"/>
  <c r="G401" i="4"/>
  <c r="H401" i="4"/>
  <c r="E401" i="4" s="1"/>
  <c r="A402" i="4"/>
  <c r="B402" i="4"/>
  <c r="C402" i="4"/>
  <c r="D402" i="4"/>
  <c r="F402" i="4"/>
  <c r="G402" i="4"/>
  <c r="H402" i="4"/>
  <c r="E402" i="4" s="1"/>
  <c r="A403" i="4"/>
  <c r="B403" i="4"/>
  <c r="C403" i="4"/>
  <c r="D403" i="4"/>
  <c r="F403" i="4"/>
  <c r="G403" i="4"/>
  <c r="H403" i="4"/>
  <c r="E403" i="4" s="1"/>
  <c r="A404" i="4"/>
  <c r="B404" i="4"/>
  <c r="C404" i="4"/>
  <c r="D404" i="4"/>
  <c r="F404" i="4"/>
  <c r="G404" i="4"/>
  <c r="H404" i="4"/>
  <c r="E404" i="4" s="1"/>
  <c r="A405" i="4"/>
  <c r="B405" i="4"/>
  <c r="C405" i="4"/>
  <c r="D405" i="4"/>
  <c r="F405" i="4"/>
  <c r="G405" i="4"/>
  <c r="H405" i="4"/>
  <c r="E405" i="4" s="1"/>
  <c r="A406" i="4"/>
  <c r="B406" i="4"/>
  <c r="C406" i="4"/>
  <c r="D406" i="4"/>
  <c r="F406" i="4"/>
  <c r="G406" i="4"/>
  <c r="H406" i="4"/>
  <c r="E406" i="4" s="1"/>
  <c r="A407" i="4"/>
  <c r="B407" i="4"/>
  <c r="C407" i="4"/>
  <c r="D407" i="4"/>
  <c r="F407" i="4"/>
  <c r="G407" i="4"/>
  <c r="H407" i="4"/>
  <c r="E407" i="4" s="1"/>
  <c r="A408" i="4"/>
  <c r="B408" i="4"/>
  <c r="C408" i="4"/>
  <c r="D408" i="4"/>
  <c r="F408" i="4"/>
  <c r="G408" i="4"/>
  <c r="H408" i="4"/>
  <c r="E408" i="4" s="1"/>
  <c r="A409" i="4"/>
  <c r="B409" i="4"/>
  <c r="C409" i="4"/>
  <c r="D409" i="4"/>
  <c r="F409" i="4"/>
  <c r="G409" i="4"/>
  <c r="H409" i="4"/>
  <c r="E409" i="4" s="1"/>
  <c r="A410" i="4"/>
  <c r="B410" i="4"/>
  <c r="C410" i="4"/>
  <c r="D410" i="4"/>
  <c r="F410" i="4"/>
  <c r="G410" i="4"/>
  <c r="H410" i="4"/>
  <c r="E410" i="4" s="1"/>
  <c r="A411" i="4"/>
  <c r="B411" i="4"/>
  <c r="C411" i="4"/>
  <c r="D411" i="4"/>
  <c r="F411" i="4"/>
  <c r="G411" i="4"/>
  <c r="H411" i="4"/>
  <c r="E411" i="4" s="1"/>
  <c r="A412" i="4"/>
  <c r="B412" i="4"/>
  <c r="C412" i="4"/>
  <c r="D412" i="4"/>
  <c r="F412" i="4"/>
  <c r="G412" i="4"/>
  <c r="H412" i="4"/>
  <c r="E412" i="4" s="1"/>
  <c r="A413" i="4"/>
  <c r="B413" i="4"/>
  <c r="C413" i="4"/>
  <c r="D413" i="4"/>
  <c r="F413" i="4"/>
  <c r="G413" i="4"/>
  <c r="H413" i="4"/>
  <c r="E413" i="4" s="1"/>
  <c r="A414" i="4"/>
  <c r="B414" i="4"/>
  <c r="C414" i="4"/>
  <c r="D414" i="4"/>
  <c r="F414" i="4"/>
  <c r="G414" i="4"/>
  <c r="H414" i="4"/>
  <c r="E414" i="4" s="1"/>
  <c r="A415" i="4"/>
  <c r="B415" i="4"/>
  <c r="C415" i="4"/>
  <c r="D415" i="4"/>
  <c r="F415" i="4"/>
  <c r="G415" i="4"/>
  <c r="H415" i="4"/>
  <c r="E415" i="4" s="1"/>
  <c r="A416" i="4"/>
  <c r="B416" i="4"/>
  <c r="C416" i="4"/>
  <c r="D416" i="4"/>
  <c r="F416" i="4"/>
  <c r="G416" i="4"/>
  <c r="H416" i="4"/>
  <c r="E416" i="4" s="1"/>
  <c r="A417" i="4"/>
  <c r="B417" i="4"/>
  <c r="C417" i="4"/>
  <c r="D417" i="4"/>
  <c r="F417" i="4"/>
  <c r="G417" i="4"/>
  <c r="H417" i="4"/>
  <c r="E417" i="4" s="1"/>
  <c r="A418" i="4"/>
  <c r="B418" i="4"/>
  <c r="C418" i="4"/>
  <c r="D418" i="4"/>
  <c r="F418" i="4"/>
  <c r="G418" i="4"/>
  <c r="H418" i="4"/>
  <c r="E418" i="4" s="1"/>
  <c r="A419" i="4"/>
  <c r="B419" i="4"/>
  <c r="C419" i="4"/>
  <c r="D419" i="4"/>
  <c r="F419" i="4"/>
  <c r="G419" i="4"/>
  <c r="H419" i="4"/>
  <c r="E419" i="4" s="1"/>
  <c r="A420" i="4"/>
  <c r="B420" i="4"/>
  <c r="C420" i="4"/>
  <c r="D420" i="4"/>
  <c r="F420" i="4"/>
  <c r="G420" i="4"/>
  <c r="H420" i="4"/>
  <c r="E420" i="4" s="1"/>
  <c r="A421" i="4"/>
  <c r="B421" i="4"/>
  <c r="C421" i="4"/>
  <c r="D421" i="4"/>
  <c r="F421" i="4"/>
  <c r="G421" i="4"/>
  <c r="H421" i="4"/>
  <c r="E421" i="4" s="1"/>
  <c r="A422" i="4"/>
  <c r="B422" i="4"/>
  <c r="C422" i="4"/>
  <c r="D422" i="4"/>
  <c r="F422" i="4"/>
  <c r="G422" i="4"/>
  <c r="H422" i="4"/>
  <c r="E422" i="4" s="1"/>
  <c r="A423" i="4"/>
  <c r="B423" i="4"/>
  <c r="C423" i="4"/>
  <c r="D423" i="4"/>
  <c r="F423" i="4"/>
  <c r="G423" i="4"/>
  <c r="H423" i="4"/>
  <c r="E423" i="4" s="1"/>
  <c r="A424" i="4"/>
  <c r="B424" i="4"/>
  <c r="C424" i="4"/>
  <c r="D424" i="4"/>
  <c r="F424" i="4"/>
  <c r="G424" i="4"/>
  <c r="H424" i="4"/>
  <c r="E424" i="4" s="1"/>
  <c r="A425" i="4"/>
  <c r="B425" i="4"/>
  <c r="C425" i="4"/>
  <c r="D425" i="4"/>
  <c r="F425" i="4"/>
  <c r="G425" i="4"/>
  <c r="H425" i="4"/>
  <c r="E425" i="4" s="1"/>
  <c r="A426" i="4"/>
  <c r="B426" i="4"/>
  <c r="C426" i="4"/>
  <c r="D426" i="4"/>
  <c r="F426" i="4"/>
  <c r="G426" i="4"/>
  <c r="H426" i="4"/>
  <c r="E426" i="4" s="1"/>
  <c r="A427" i="4"/>
  <c r="B427" i="4"/>
  <c r="C427" i="4"/>
  <c r="D427" i="4"/>
  <c r="F427" i="4"/>
  <c r="G427" i="4"/>
  <c r="H427" i="4"/>
  <c r="E427" i="4" s="1"/>
  <c r="A428" i="4"/>
  <c r="B428" i="4"/>
  <c r="C428" i="4"/>
  <c r="D428" i="4"/>
  <c r="F428" i="4"/>
  <c r="G428" i="4"/>
  <c r="H428" i="4"/>
  <c r="E428" i="4" s="1"/>
  <c r="A429" i="4"/>
  <c r="B429" i="4"/>
  <c r="C429" i="4"/>
  <c r="D429" i="4"/>
  <c r="F429" i="4"/>
  <c r="G429" i="4"/>
  <c r="H429" i="4"/>
  <c r="E429" i="4" s="1"/>
  <c r="A430" i="4"/>
  <c r="B430" i="4"/>
  <c r="C430" i="4"/>
  <c r="D430" i="4"/>
  <c r="F430" i="4"/>
  <c r="G430" i="4"/>
  <c r="H430" i="4"/>
  <c r="E430" i="4" s="1"/>
  <c r="A431" i="4"/>
  <c r="B431" i="4"/>
  <c r="C431" i="4"/>
  <c r="D431" i="4"/>
  <c r="F431" i="4"/>
  <c r="G431" i="4"/>
  <c r="H431" i="4"/>
  <c r="E431" i="4" s="1"/>
  <c r="A432" i="4"/>
  <c r="B432" i="4"/>
  <c r="C432" i="4"/>
  <c r="D432" i="4"/>
  <c r="F432" i="4"/>
  <c r="G432" i="4"/>
  <c r="H432" i="4"/>
  <c r="E432" i="4" s="1"/>
  <c r="A433" i="4"/>
  <c r="B433" i="4"/>
  <c r="C433" i="4"/>
  <c r="D433" i="4"/>
  <c r="F433" i="4"/>
  <c r="G433" i="4"/>
  <c r="H433" i="4"/>
  <c r="E433" i="4" s="1"/>
  <c r="A434" i="4"/>
  <c r="B434" i="4"/>
  <c r="C434" i="4"/>
  <c r="D434" i="4"/>
  <c r="F434" i="4"/>
  <c r="G434" i="4"/>
  <c r="H434" i="4"/>
  <c r="E434" i="4" s="1"/>
  <c r="A435" i="4"/>
  <c r="B435" i="4"/>
  <c r="C435" i="4"/>
  <c r="D435" i="4"/>
  <c r="F435" i="4"/>
  <c r="G435" i="4"/>
  <c r="H435" i="4"/>
  <c r="E435" i="4" s="1"/>
  <c r="A436" i="4"/>
  <c r="B436" i="4"/>
  <c r="C436" i="4"/>
  <c r="D436" i="4"/>
  <c r="F436" i="4"/>
  <c r="G436" i="4"/>
  <c r="H436" i="4"/>
  <c r="E436" i="4" s="1"/>
  <c r="A437" i="4"/>
  <c r="B437" i="4"/>
  <c r="C437" i="4"/>
  <c r="D437" i="4"/>
  <c r="F437" i="4"/>
  <c r="G437" i="4"/>
  <c r="H437" i="4"/>
  <c r="E437" i="4" s="1"/>
  <c r="A438" i="4"/>
  <c r="B438" i="4"/>
  <c r="C438" i="4"/>
  <c r="D438" i="4"/>
  <c r="F438" i="4"/>
  <c r="G438" i="4"/>
  <c r="H438" i="4"/>
  <c r="E438" i="4" s="1"/>
  <c r="A439" i="4"/>
  <c r="B439" i="4"/>
  <c r="C439" i="4"/>
  <c r="D439" i="4"/>
  <c r="F439" i="4"/>
  <c r="G439" i="4"/>
  <c r="H439" i="4"/>
  <c r="E439" i="4" s="1"/>
  <c r="A440" i="4"/>
  <c r="B440" i="4"/>
  <c r="C440" i="4"/>
  <c r="D440" i="4"/>
  <c r="F440" i="4"/>
  <c r="G440" i="4"/>
  <c r="H440" i="4"/>
  <c r="E440" i="4" s="1"/>
  <c r="A441" i="4"/>
  <c r="B441" i="4"/>
  <c r="C441" i="4"/>
  <c r="D441" i="4"/>
  <c r="F441" i="4"/>
  <c r="G441" i="4"/>
  <c r="H441" i="4"/>
  <c r="E441" i="4" s="1"/>
  <c r="A442" i="4"/>
  <c r="B442" i="4"/>
  <c r="C442" i="4"/>
  <c r="D442" i="4"/>
  <c r="F442" i="4"/>
  <c r="G442" i="4"/>
  <c r="H442" i="4"/>
  <c r="E442" i="4" s="1"/>
  <c r="A443" i="4"/>
  <c r="B443" i="4"/>
  <c r="C443" i="4"/>
  <c r="D443" i="4"/>
  <c r="F443" i="4"/>
  <c r="G443" i="4"/>
  <c r="H443" i="4"/>
  <c r="E443" i="4" s="1"/>
  <c r="A444" i="4"/>
  <c r="B444" i="4"/>
  <c r="C444" i="4"/>
  <c r="D444" i="4"/>
  <c r="F444" i="4"/>
  <c r="G444" i="4"/>
  <c r="H444" i="4"/>
  <c r="E444" i="4" s="1"/>
  <c r="A445" i="4"/>
  <c r="B445" i="4"/>
  <c r="C445" i="4"/>
  <c r="D445" i="4"/>
  <c r="F445" i="4"/>
  <c r="G445" i="4"/>
  <c r="H445" i="4"/>
  <c r="E445" i="4" s="1"/>
  <c r="A446" i="4"/>
  <c r="B446" i="4"/>
  <c r="C446" i="4"/>
  <c r="D446" i="4"/>
  <c r="F446" i="4"/>
  <c r="G446" i="4"/>
  <c r="H446" i="4"/>
  <c r="E446" i="4" s="1"/>
  <c r="A447" i="4"/>
  <c r="B447" i="4"/>
  <c r="C447" i="4"/>
  <c r="D447" i="4"/>
  <c r="F447" i="4"/>
  <c r="G447" i="4"/>
  <c r="H447" i="4"/>
  <c r="E447" i="4" s="1"/>
  <c r="A448" i="4"/>
  <c r="B448" i="4"/>
  <c r="C448" i="4"/>
  <c r="D448" i="4"/>
  <c r="F448" i="4"/>
  <c r="G448" i="4"/>
  <c r="H448" i="4"/>
  <c r="E448" i="4" s="1"/>
  <c r="A449" i="4"/>
  <c r="B449" i="4"/>
  <c r="C449" i="4"/>
  <c r="D449" i="4"/>
  <c r="F449" i="4"/>
  <c r="G449" i="4"/>
  <c r="H449" i="4"/>
  <c r="E449" i="4" s="1"/>
  <c r="A450" i="4"/>
  <c r="B450" i="4"/>
  <c r="C450" i="4"/>
  <c r="D450" i="4"/>
  <c r="F450" i="4"/>
  <c r="G450" i="4"/>
  <c r="H450" i="4"/>
  <c r="E450" i="4" s="1"/>
  <c r="A451" i="4"/>
  <c r="B451" i="4"/>
  <c r="C451" i="4"/>
  <c r="D451" i="4"/>
  <c r="F451" i="4"/>
  <c r="G451" i="4"/>
  <c r="H451" i="4"/>
  <c r="E451" i="4" s="1"/>
  <c r="A452" i="4"/>
  <c r="B452" i="4"/>
  <c r="C452" i="4"/>
  <c r="D452" i="4"/>
  <c r="F452" i="4"/>
  <c r="G452" i="4"/>
  <c r="H452" i="4"/>
  <c r="E452" i="4" s="1"/>
  <c r="A453" i="4"/>
  <c r="B453" i="4"/>
  <c r="C453" i="4"/>
  <c r="D453" i="4"/>
  <c r="F453" i="4"/>
  <c r="G453" i="4"/>
  <c r="H453" i="4"/>
  <c r="E453" i="4" s="1"/>
  <c r="A454" i="4"/>
  <c r="B454" i="4"/>
  <c r="C454" i="4"/>
  <c r="D454" i="4"/>
  <c r="F454" i="4"/>
  <c r="G454" i="4"/>
  <c r="H454" i="4"/>
  <c r="E454" i="4" s="1"/>
  <c r="A455" i="4"/>
  <c r="B455" i="4"/>
  <c r="C455" i="4"/>
  <c r="D455" i="4"/>
  <c r="F455" i="4"/>
  <c r="G455" i="4"/>
  <c r="H455" i="4"/>
  <c r="E455" i="4" s="1"/>
  <c r="A456" i="4"/>
  <c r="B456" i="4"/>
  <c r="C456" i="4"/>
  <c r="D456" i="4"/>
  <c r="F456" i="4"/>
  <c r="G456" i="4"/>
  <c r="H456" i="4"/>
  <c r="E456" i="4" s="1"/>
  <c r="A457" i="4"/>
  <c r="B457" i="4"/>
  <c r="C457" i="4"/>
  <c r="D457" i="4"/>
  <c r="F457" i="4"/>
  <c r="G457" i="4"/>
  <c r="H457" i="4"/>
  <c r="E457" i="4" s="1"/>
  <c r="A458" i="4"/>
  <c r="B458" i="4"/>
  <c r="C458" i="4"/>
  <c r="D458" i="4"/>
  <c r="F458" i="4"/>
  <c r="G458" i="4"/>
  <c r="H458" i="4"/>
  <c r="E458" i="4" s="1"/>
  <c r="A459" i="4"/>
  <c r="B459" i="4"/>
  <c r="C459" i="4"/>
  <c r="D459" i="4"/>
  <c r="F459" i="4"/>
  <c r="G459" i="4"/>
  <c r="H459" i="4"/>
  <c r="E459" i="4" s="1"/>
  <c r="A460" i="4"/>
  <c r="B460" i="4"/>
  <c r="C460" i="4"/>
  <c r="D460" i="4"/>
  <c r="F460" i="4"/>
  <c r="G460" i="4"/>
  <c r="H460" i="4"/>
  <c r="E460" i="4" s="1"/>
  <c r="A461" i="4"/>
  <c r="B461" i="4"/>
  <c r="C461" i="4"/>
  <c r="D461" i="4"/>
  <c r="F461" i="4"/>
  <c r="G461" i="4"/>
  <c r="H461" i="4"/>
  <c r="E461" i="4" s="1"/>
  <c r="A462" i="4"/>
  <c r="B462" i="4"/>
  <c r="C462" i="4"/>
  <c r="D462" i="4"/>
  <c r="F462" i="4"/>
  <c r="G462" i="4"/>
  <c r="H462" i="4"/>
  <c r="E462" i="4" s="1"/>
  <c r="A463" i="4"/>
  <c r="B463" i="4"/>
  <c r="C463" i="4"/>
  <c r="D463" i="4"/>
  <c r="F463" i="4"/>
  <c r="G463" i="4"/>
  <c r="H463" i="4"/>
  <c r="E463" i="4" s="1"/>
  <c r="A464" i="4"/>
  <c r="B464" i="4"/>
  <c r="C464" i="4"/>
  <c r="D464" i="4"/>
  <c r="F464" i="4"/>
  <c r="G464" i="4"/>
  <c r="H464" i="4"/>
  <c r="E464" i="4" s="1"/>
  <c r="A465" i="4"/>
  <c r="B465" i="4"/>
  <c r="C465" i="4"/>
  <c r="D465" i="4"/>
  <c r="F465" i="4"/>
  <c r="G465" i="4"/>
  <c r="H465" i="4"/>
  <c r="E465" i="4" s="1"/>
  <c r="A466" i="4"/>
  <c r="B466" i="4"/>
  <c r="C466" i="4"/>
  <c r="D466" i="4"/>
  <c r="F466" i="4"/>
  <c r="G466" i="4"/>
  <c r="H466" i="4"/>
  <c r="E466" i="4" s="1"/>
  <c r="A467" i="4"/>
  <c r="B467" i="4"/>
  <c r="C467" i="4"/>
  <c r="D467" i="4"/>
  <c r="F467" i="4"/>
  <c r="G467" i="4"/>
  <c r="H467" i="4"/>
  <c r="E467" i="4" s="1"/>
  <c r="A468" i="4"/>
  <c r="B468" i="4"/>
  <c r="C468" i="4"/>
  <c r="D468" i="4"/>
  <c r="F468" i="4"/>
  <c r="G468" i="4"/>
  <c r="H468" i="4"/>
  <c r="E468" i="4" s="1"/>
  <c r="A469" i="4"/>
  <c r="B469" i="4"/>
  <c r="C469" i="4"/>
  <c r="D469" i="4"/>
  <c r="F469" i="4"/>
  <c r="G469" i="4"/>
  <c r="H469" i="4"/>
  <c r="E469" i="4" s="1"/>
  <c r="A470" i="4"/>
  <c r="B470" i="4"/>
  <c r="C470" i="4"/>
  <c r="D470" i="4"/>
  <c r="F470" i="4"/>
  <c r="G470" i="4"/>
  <c r="H470" i="4"/>
  <c r="E470" i="4" s="1"/>
  <c r="A471" i="4"/>
  <c r="B471" i="4"/>
  <c r="C471" i="4"/>
  <c r="D471" i="4"/>
  <c r="F471" i="4"/>
  <c r="G471" i="4"/>
  <c r="H471" i="4"/>
  <c r="E471" i="4" s="1"/>
  <c r="A472" i="4"/>
  <c r="B472" i="4"/>
  <c r="C472" i="4"/>
  <c r="D472" i="4"/>
  <c r="F472" i="4"/>
  <c r="G472" i="4"/>
  <c r="H472" i="4"/>
  <c r="E472" i="4" s="1"/>
  <c r="A473" i="4"/>
  <c r="B473" i="4"/>
  <c r="C473" i="4"/>
  <c r="D473" i="4"/>
  <c r="F473" i="4"/>
  <c r="G473" i="4"/>
  <c r="H473" i="4"/>
  <c r="E473" i="4" s="1"/>
  <c r="A474" i="4"/>
  <c r="B474" i="4"/>
  <c r="C474" i="4"/>
  <c r="D474" i="4"/>
  <c r="F474" i="4"/>
  <c r="G474" i="4"/>
  <c r="H474" i="4"/>
  <c r="E474" i="4" s="1"/>
  <c r="A475" i="4"/>
  <c r="B475" i="4"/>
  <c r="C475" i="4"/>
  <c r="D475" i="4"/>
  <c r="F475" i="4"/>
  <c r="G475" i="4"/>
  <c r="H475" i="4"/>
  <c r="E475" i="4" s="1"/>
  <c r="A476" i="4"/>
  <c r="B476" i="4"/>
  <c r="C476" i="4"/>
  <c r="D476" i="4"/>
  <c r="F476" i="4"/>
  <c r="G476" i="4"/>
  <c r="H476" i="4"/>
  <c r="E476" i="4" s="1"/>
  <c r="A477" i="4"/>
  <c r="B477" i="4"/>
  <c r="C477" i="4"/>
  <c r="D477" i="4"/>
  <c r="F477" i="4"/>
  <c r="G477" i="4"/>
  <c r="H477" i="4"/>
  <c r="E477" i="4" s="1"/>
  <c r="A478" i="4"/>
  <c r="B478" i="4"/>
  <c r="C478" i="4"/>
  <c r="D478" i="4"/>
  <c r="F478" i="4"/>
  <c r="G478" i="4"/>
  <c r="H478" i="4"/>
  <c r="E478" i="4" s="1"/>
  <c r="A479" i="4"/>
  <c r="B479" i="4"/>
  <c r="C479" i="4"/>
  <c r="D479" i="4"/>
  <c r="F479" i="4"/>
  <c r="G479" i="4"/>
  <c r="H479" i="4"/>
  <c r="E479" i="4" s="1"/>
  <c r="A480" i="4"/>
  <c r="B480" i="4"/>
  <c r="C480" i="4"/>
  <c r="D480" i="4"/>
  <c r="F480" i="4"/>
  <c r="G480" i="4"/>
  <c r="H480" i="4"/>
  <c r="E480" i="4" s="1"/>
  <c r="A481" i="4"/>
  <c r="B481" i="4"/>
  <c r="C481" i="4"/>
  <c r="D481" i="4"/>
  <c r="F481" i="4"/>
  <c r="G481" i="4"/>
  <c r="H481" i="4"/>
  <c r="E481" i="4" s="1"/>
  <c r="A482" i="4"/>
  <c r="B482" i="4"/>
  <c r="C482" i="4"/>
  <c r="D482" i="4"/>
  <c r="F482" i="4"/>
  <c r="G482" i="4"/>
  <c r="H482" i="4"/>
  <c r="E482" i="4" s="1"/>
  <c r="A483" i="4"/>
  <c r="B483" i="4"/>
  <c r="C483" i="4"/>
  <c r="D483" i="4"/>
  <c r="F483" i="4"/>
  <c r="G483" i="4"/>
  <c r="H483" i="4"/>
  <c r="E483" i="4" s="1"/>
  <c r="A484" i="4"/>
  <c r="B484" i="4"/>
  <c r="C484" i="4"/>
  <c r="D484" i="4"/>
  <c r="F484" i="4"/>
  <c r="G484" i="4"/>
  <c r="H484" i="4"/>
  <c r="E484" i="4" s="1"/>
  <c r="A485" i="4"/>
  <c r="B485" i="4"/>
  <c r="C485" i="4"/>
  <c r="D485" i="4"/>
  <c r="F485" i="4"/>
  <c r="G485" i="4"/>
  <c r="H485" i="4"/>
  <c r="E485" i="4" s="1"/>
  <c r="A486" i="4"/>
  <c r="B486" i="4"/>
  <c r="C486" i="4"/>
  <c r="D486" i="4"/>
  <c r="F486" i="4"/>
  <c r="G486" i="4"/>
  <c r="H486" i="4"/>
  <c r="E486" i="4" s="1"/>
  <c r="A487" i="4"/>
  <c r="B487" i="4"/>
  <c r="C487" i="4"/>
  <c r="D487" i="4"/>
  <c r="F487" i="4"/>
  <c r="G487" i="4"/>
  <c r="H487" i="4"/>
  <c r="E487" i="4" s="1"/>
  <c r="A488" i="4"/>
  <c r="B488" i="4"/>
  <c r="C488" i="4"/>
  <c r="D488" i="4"/>
  <c r="F488" i="4"/>
  <c r="G488" i="4"/>
  <c r="H488" i="4"/>
  <c r="E488" i="4" s="1"/>
  <c r="A489" i="4"/>
  <c r="B489" i="4"/>
  <c r="C489" i="4"/>
  <c r="D489" i="4"/>
  <c r="F489" i="4"/>
  <c r="G489" i="4"/>
  <c r="H489" i="4"/>
  <c r="E489" i="4" s="1"/>
  <c r="A490" i="4"/>
  <c r="B490" i="4"/>
  <c r="C490" i="4"/>
  <c r="D490" i="4"/>
  <c r="F490" i="4"/>
  <c r="G490" i="4"/>
  <c r="H490" i="4"/>
  <c r="E490" i="4" s="1"/>
  <c r="A491" i="4"/>
  <c r="B491" i="4"/>
  <c r="C491" i="4"/>
  <c r="D491" i="4"/>
  <c r="F491" i="4"/>
  <c r="G491" i="4"/>
  <c r="H491" i="4"/>
  <c r="E491" i="4" s="1"/>
  <c r="A492" i="4"/>
  <c r="B492" i="4"/>
  <c r="C492" i="4"/>
  <c r="D492" i="4"/>
  <c r="F492" i="4"/>
  <c r="G492" i="4"/>
  <c r="H492" i="4"/>
  <c r="E492" i="4" s="1"/>
  <c r="A493" i="4"/>
  <c r="B493" i="4"/>
  <c r="C493" i="4"/>
  <c r="D493" i="4"/>
  <c r="F493" i="4"/>
  <c r="G493" i="4"/>
  <c r="H493" i="4"/>
  <c r="E493" i="4" s="1"/>
  <c r="A494" i="4"/>
  <c r="B494" i="4"/>
  <c r="C494" i="4"/>
  <c r="D494" i="4"/>
  <c r="F494" i="4"/>
  <c r="G494" i="4"/>
  <c r="H494" i="4"/>
  <c r="E494" i="4" s="1"/>
  <c r="A495" i="4"/>
  <c r="B495" i="4"/>
  <c r="C495" i="4"/>
  <c r="D495" i="4"/>
  <c r="F495" i="4"/>
  <c r="G495" i="4"/>
  <c r="H495" i="4"/>
  <c r="E495" i="4" s="1"/>
  <c r="A496" i="4"/>
  <c r="B496" i="4"/>
  <c r="C496" i="4"/>
  <c r="D496" i="4"/>
  <c r="F496" i="4"/>
  <c r="G496" i="4"/>
  <c r="H496" i="4"/>
  <c r="E496" i="4" s="1"/>
  <c r="A497" i="4"/>
  <c r="B497" i="4"/>
  <c r="C497" i="4"/>
  <c r="D497" i="4"/>
  <c r="F497" i="4"/>
  <c r="G497" i="4"/>
  <c r="H497" i="4"/>
  <c r="E497" i="4" s="1"/>
  <c r="A498" i="4"/>
  <c r="B498" i="4"/>
  <c r="C498" i="4"/>
  <c r="D498" i="4"/>
  <c r="F498" i="4"/>
  <c r="G498" i="4"/>
  <c r="H498" i="4"/>
  <c r="E498" i="4" s="1"/>
  <c r="A499" i="4"/>
  <c r="B499" i="4"/>
  <c r="C499" i="4"/>
  <c r="D499" i="4"/>
  <c r="F499" i="4"/>
  <c r="G499" i="4"/>
  <c r="H499" i="4"/>
  <c r="E499" i="4" s="1"/>
  <c r="A500" i="4"/>
  <c r="B500" i="4"/>
  <c r="C500" i="4"/>
  <c r="D500" i="4"/>
  <c r="F500" i="4"/>
  <c r="G500" i="4"/>
  <c r="H500" i="4"/>
  <c r="E500" i="4" s="1"/>
  <c r="A501" i="4"/>
  <c r="B501" i="4"/>
  <c r="C501" i="4"/>
  <c r="D501" i="4"/>
  <c r="F501" i="4"/>
  <c r="G501" i="4"/>
  <c r="H501" i="4"/>
  <c r="E501" i="4" s="1"/>
  <c r="A502" i="4"/>
  <c r="B502" i="4"/>
  <c r="C502" i="4"/>
  <c r="D502" i="4"/>
  <c r="F502" i="4"/>
  <c r="G502" i="4"/>
  <c r="H502" i="4"/>
  <c r="E502" i="4" s="1"/>
  <c r="A503" i="4"/>
  <c r="B503" i="4"/>
  <c r="C503" i="4"/>
  <c r="D503" i="4"/>
  <c r="F503" i="4"/>
  <c r="G503" i="4"/>
  <c r="H503" i="4"/>
  <c r="E503" i="4" s="1"/>
  <c r="A504" i="4"/>
  <c r="B504" i="4"/>
  <c r="C504" i="4"/>
  <c r="D504" i="4"/>
  <c r="F504" i="4"/>
  <c r="G504" i="4"/>
  <c r="H504" i="4"/>
  <c r="E504" i="4" s="1"/>
  <c r="A505" i="4"/>
  <c r="B505" i="4"/>
  <c r="C505" i="4"/>
  <c r="D505" i="4"/>
  <c r="F505" i="4"/>
  <c r="G505" i="4"/>
  <c r="H505" i="4"/>
  <c r="E505" i="4" s="1"/>
  <c r="A506" i="4"/>
  <c r="B506" i="4"/>
  <c r="C506" i="4"/>
  <c r="D506" i="4"/>
  <c r="F506" i="4"/>
  <c r="G506" i="4"/>
  <c r="H506" i="4"/>
  <c r="E506" i="4" s="1"/>
  <c r="A507" i="4"/>
  <c r="B507" i="4"/>
  <c r="C507" i="4"/>
  <c r="D507" i="4"/>
  <c r="F507" i="4"/>
  <c r="G507" i="4"/>
  <c r="H507" i="4"/>
  <c r="E507" i="4" s="1"/>
  <c r="A508" i="4"/>
  <c r="B508" i="4"/>
  <c r="C508" i="4"/>
  <c r="D508" i="4"/>
  <c r="F508" i="4"/>
  <c r="G508" i="4"/>
  <c r="H508" i="4"/>
  <c r="E508" i="4" s="1"/>
  <c r="A509" i="4"/>
  <c r="B509" i="4"/>
  <c r="C509" i="4"/>
  <c r="D509" i="4"/>
  <c r="F509" i="4"/>
  <c r="G509" i="4"/>
  <c r="H509" i="4"/>
  <c r="E509" i="4" s="1"/>
  <c r="A510" i="4"/>
  <c r="B510" i="4"/>
  <c r="C510" i="4"/>
  <c r="D510" i="4"/>
  <c r="F510" i="4"/>
  <c r="G510" i="4"/>
  <c r="H510" i="4"/>
  <c r="E510" i="4" s="1"/>
  <c r="A511" i="4"/>
  <c r="B511" i="4"/>
  <c r="C511" i="4"/>
  <c r="D511" i="4"/>
  <c r="F511" i="4"/>
  <c r="G511" i="4"/>
  <c r="H511" i="4"/>
  <c r="E511" i="4" s="1"/>
  <c r="A512" i="4"/>
  <c r="B512" i="4"/>
  <c r="C512" i="4"/>
  <c r="D512" i="4"/>
  <c r="F512" i="4"/>
  <c r="G512" i="4"/>
  <c r="H512" i="4"/>
  <c r="E512" i="4" s="1"/>
  <c r="A513" i="4"/>
  <c r="B513" i="4"/>
  <c r="C513" i="4"/>
  <c r="D513" i="4"/>
  <c r="F513" i="4"/>
  <c r="G513" i="4"/>
  <c r="H513" i="4"/>
  <c r="E513" i="4" s="1"/>
  <c r="A514" i="4"/>
  <c r="B514" i="4"/>
  <c r="C514" i="4"/>
  <c r="D514" i="4"/>
  <c r="F514" i="4"/>
  <c r="G514" i="4"/>
  <c r="H514" i="4"/>
  <c r="E514" i="4" s="1"/>
  <c r="A515" i="4"/>
  <c r="B515" i="4"/>
  <c r="C515" i="4"/>
  <c r="D515" i="4"/>
  <c r="F515" i="4"/>
  <c r="G515" i="4"/>
  <c r="H515" i="4"/>
  <c r="E515" i="4" s="1"/>
  <c r="A516" i="4"/>
  <c r="B516" i="4"/>
  <c r="C516" i="4"/>
  <c r="D516" i="4"/>
  <c r="F516" i="4"/>
  <c r="G516" i="4"/>
  <c r="H516" i="4"/>
  <c r="E516" i="4" s="1"/>
  <c r="A517" i="4"/>
  <c r="B517" i="4"/>
  <c r="C517" i="4"/>
  <c r="D517" i="4"/>
  <c r="E517" i="4"/>
  <c r="F517" i="4"/>
  <c r="G517" i="4"/>
  <c r="H517" i="4"/>
  <c r="A518" i="4"/>
  <c r="B518" i="4"/>
  <c r="C518" i="4"/>
  <c r="D518" i="4"/>
  <c r="E518" i="4"/>
  <c r="F518" i="4"/>
  <c r="G518" i="4"/>
  <c r="H518" i="4"/>
  <c r="A519" i="4"/>
  <c r="B519" i="4"/>
  <c r="C519" i="4"/>
  <c r="D519" i="4"/>
  <c r="E519" i="4"/>
  <c r="F519" i="4"/>
  <c r="G519" i="4"/>
  <c r="H519" i="4"/>
  <c r="A520" i="4"/>
  <c r="B520" i="4"/>
  <c r="C520" i="4"/>
  <c r="D520" i="4"/>
  <c r="E520" i="4"/>
  <c r="F520" i="4"/>
  <c r="G520" i="4"/>
  <c r="H520" i="4"/>
  <c r="A521" i="4"/>
  <c r="B521" i="4"/>
  <c r="C521" i="4"/>
  <c r="D521" i="4"/>
  <c r="E521" i="4"/>
  <c r="F521" i="4"/>
  <c r="G521" i="4"/>
  <c r="H521" i="4"/>
  <c r="A522" i="4"/>
  <c r="B522" i="4"/>
  <c r="C522" i="4"/>
  <c r="D522" i="4"/>
  <c r="E522" i="4"/>
  <c r="F522" i="4"/>
  <c r="G522" i="4"/>
  <c r="H522" i="4"/>
  <c r="A523" i="4"/>
  <c r="B523" i="4"/>
  <c r="C523" i="4"/>
  <c r="D523" i="4"/>
  <c r="E523" i="4"/>
  <c r="F523" i="4"/>
  <c r="G523" i="4"/>
  <c r="H523" i="4"/>
  <c r="A524" i="4"/>
  <c r="B524" i="4"/>
  <c r="C524" i="4"/>
  <c r="D524" i="4"/>
  <c r="E524" i="4"/>
  <c r="F524" i="4"/>
  <c r="G524" i="4"/>
  <c r="H524" i="4"/>
  <c r="A525" i="4"/>
  <c r="B525" i="4"/>
  <c r="C525" i="4"/>
  <c r="D525" i="4"/>
  <c r="E525" i="4"/>
  <c r="F525" i="4"/>
  <c r="G525" i="4"/>
  <c r="H525" i="4"/>
  <c r="A526" i="4"/>
  <c r="B526" i="4"/>
  <c r="C526" i="4"/>
  <c r="D526" i="4"/>
  <c r="E526" i="4"/>
  <c r="F526" i="4"/>
  <c r="G526" i="4"/>
  <c r="H526" i="4"/>
  <c r="A527" i="4"/>
  <c r="B527" i="4"/>
  <c r="C527" i="4"/>
  <c r="D527" i="4"/>
  <c r="E527" i="4"/>
  <c r="F527" i="4"/>
  <c r="G527" i="4"/>
  <c r="H527" i="4"/>
  <c r="A528" i="4"/>
  <c r="B528" i="4"/>
  <c r="C528" i="4"/>
  <c r="D528" i="4"/>
  <c r="E528" i="4"/>
  <c r="F528" i="4"/>
  <c r="G528" i="4"/>
  <c r="H528" i="4"/>
  <c r="A529" i="4"/>
  <c r="B529" i="4"/>
  <c r="C529" i="4"/>
  <c r="D529" i="4"/>
  <c r="E529" i="4"/>
  <c r="F529" i="4"/>
  <c r="G529" i="4"/>
  <c r="H529" i="4"/>
  <c r="A530" i="4"/>
  <c r="B530" i="4"/>
  <c r="C530" i="4"/>
  <c r="D530" i="4"/>
  <c r="E530" i="4"/>
  <c r="F530" i="4"/>
  <c r="G530" i="4"/>
  <c r="H530" i="4"/>
  <c r="A531" i="4"/>
  <c r="B531" i="4"/>
  <c r="C531" i="4"/>
  <c r="D531" i="4"/>
  <c r="E531" i="4"/>
  <c r="F531" i="4"/>
  <c r="G531" i="4"/>
  <c r="H531" i="4"/>
  <c r="A532" i="4"/>
  <c r="B532" i="4"/>
  <c r="C532" i="4"/>
  <c r="D532" i="4"/>
  <c r="E532" i="4"/>
  <c r="F532" i="4"/>
  <c r="G532" i="4"/>
  <c r="H532" i="4"/>
  <c r="A533" i="4"/>
  <c r="B533" i="4"/>
  <c r="C533" i="4"/>
  <c r="D533" i="4"/>
  <c r="E533" i="4"/>
  <c r="F533" i="4"/>
  <c r="G533" i="4"/>
  <c r="H533" i="4"/>
  <c r="A534" i="4"/>
  <c r="B534" i="4"/>
  <c r="C534" i="4"/>
  <c r="D534" i="4"/>
  <c r="E534" i="4"/>
  <c r="F534" i="4"/>
  <c r="G534" i="4"/>
  <c r="H534" i="4"/>
  <c r="A535" i="4"/>
  <c r="B535" i="4"/>
  <c r="C535" i="4"/>
  <c r="D535" i="4"/>
  <c r="E535" i="4"/>
  <c r="F535" i="4"/>
  <c r="G535" i="4"/>
  <c r="H535" i="4"/>
  <c r="A536" i="4"/>
  <c r="B536" i="4"/>
  <c r="C536" i="4"/>
  <c r="D536" i="4"/>
  <c r="E536" i="4"/>
  <c r="F536" i="4"/>
  <c r="G536" i="4"/>
  <c r="H536" i="4"/>
  <c r="A537" i="4"/>
  <c r="B537" i="4"/>
  <c r="C537" i="4"/>
  <c r="D537" i="4"/>
  <c r="E537" i="4"/>
  <c r="F537" i="4"/>
  <c r="G537" i="4"/>
  <c r="H537" i="4"/>
  <c r="A538" i="4"/>
  <c r="B538" i="4"/>
  <c r="C538" i="4"/>
  <c r="D538" i="4"/>
  <c r="E538" i="4"/>
  <c r="F538" i="4"/>
  <c r="G538" i="4"/>
  <c r="H538" i="4"/>
  <c r="A539" i="4"/>
  <c r="B539" i="4"/>
  <c r="C539" i="4"/>
  <c r="D539" i="4"/>
  <c r="E539" i="4"/>
  <c r="F539" i="4"/>
  <c r="G539" i="4"/>
  <c r="H539" i="4"/>
  <c r="A540" i="4"/>
  <c r="B540" i="4"/>
  <c r="C540" i="4"/>
  <c r="D540" i="4"/>
  <c r="E540" i="4"/>
  <c r="F540" i="4"/>
  <c r="G540" i="4"/>
  <c r="H540" i="4"/>
  <c r="A541" i="4"/>
  <c r="B541" i="4"/>
  <c r="C541" i="4"/>
  <c r="D541" i="4"/>
  <c r="E541" i="4"/>
  <c r="F541" i="4"/>
  <c r="G541" i="4"/>
  <c r="H541" i="4"/>
  <c r="A542" i="4"/>
  <c r="B542" i="4"/>
  <c r="C542" i="4"/>
  <c r="D542" i="4"/>
  <c r="E542" i="4"/>
  <c r="F542" i="4"/>
  <c r="G542" i="4"/>
  <c r="H542" i="4"/>
  <c r="A543" i="4"/>
  <c r="B543" i="4"/>
  <c r="C543" i="4"/>
  <c r="D543" i="4"/>
  <c r="E543" i="4"/>
  <c r="F543" i="4"/>
  <c r="G543" i="4"/>
  <c r="H543" i="4"/>
  <c r="A544" i="4"/>
  <c r="B544" i="4"/>
  <c r="C544" i="4"/>
  <c r="D544" i="4"/>
  <c r="E544" i="4"/>
  <c r="F544" i="4"/>
  <c r="G544" i="4"/>
  <c r="H544" i="4"/>
  <c r="A545" i="4"/>
  <c r="B545" i="4"/>
  <c r="C545" i="4"/>
  <c r="D545" i="4"/>
  <c r="E545" i="4"/>
  <c r="F545" i="4"/>
  <c r="G545" i="4"/>
  <c r="H545" i="4"/>
  <c r="A546" i="4"/>
  <c r="B546" i="4"/>
  <c r="C546" i="4"/>
  <c r="D546" i="4"/>
  <c r="E546" i="4"/>
  <c r="F546" i="4"/>
  <c r="G546" i="4"/>
  <c r="H546" i="4"/>
  <c r="A547" i="4"/>
  <c r="B547" i="4"/>
  <c r="C547" i="4"/>
  <c r="D547" i="4"/>
  <c r="E547" i="4"/>
  <c r="F547" i="4"/>
  <c r="G547" i="4"/>
  <c r="H547" i="4"/>
  <c r="A548" i="4"/>
  <c r="B548" i="4"/>
  <c r="C548" i="4"/>
  <c r="D548" i="4"/>
  <c r="E548" i="4"/>
  <c r="F548" i="4"/>
  <c r="G548" i="4"/>
  <c r="H548" i="4"/>
  <c r="A549" i="4"/>
  <c r="B549" i="4"/>
  <c r="C549" i="4"/>
  <c r="D549" i="4"/>
  <c r="E549" i="4"/>
  <c r="F549" i="4"/>
  <c r="G549" i="4"/>
  <c r="H549" i="4"/>
  <c r="A550" i="4"/>
  <c r="B550" i="4"/>
  <c r="C550" i="4"/>
  <c r="D550" i="4"/>
  <c r="E550" i="4"/>
  <c r="F550" i="4"/>
  <c r="G550" i="4"/>
  <c r="H550" i="4"/>
  <c r="A551" i="4"/>
  <c r="B551" i="4"/>
  <c r="C551" i="4"/>
  <c r="D551" i="4"/>
  <c r="E551" i="4"/>
  <c r="F551" i="4"/>
  <c r="G551" i="4"/>
  <c r="H551" i="4"/>
  <c r="A552" i="4"/>
  <c r="B552" i="4"/>
  <c r="C552" i="4"/>
  <c r="D552" i="4"/>
  <c r="E552" i="4"/>
  <c r="F552" i="4"/>
  <c r="G552" i="4"/>
  <c r="H552" i="4"/>
  <c r="A553" i="4"/>
  <c r="B553" i="4"/>
  <c r="C553" i="4"/>
  <c r="D553" i="4"/>
  <c r="E553" i="4"/>
  <c r="F553" i="4"/>
  <c r="G553" i="4"/>
  <c r="H553" i="4"/>
  <c r="A554" i="4"/>
  <c r="B554" i="4"/>
  <c r="C554" i="4"/>
  <c r="D554" i="4"/>
  <c r="E554" i="4"/>
  <c r="F554" i="4"/>
  <c r="G554" i="4"/>
  <c r="H554" i="4"/>
  <c r="A555" i="4"/>
  <c r="B555" i="4"/>
  <c r="C555" i="4"/>
  <c r="D555" i="4"/>
  <c r="E555" i="4"/>
  <c r="F555" i="4"/>
  <c r="G555" i="4"/>
  <c r="H555" i="4"/>
  <c r="A556" i="4"/>
  <c r="B556" i="4"/>
  <c r="C556" i="4"/>
  <c r="D556" i="4"/>
  <c r="E556" i="4"/>
  <c r="F556" i="4"/>
  <c r="G556" i="4"/>
  <c r="H556" i="4"/>
  <c r="A557" i="4"/>
  <c r="B557" i="4"/>
  <c r="C557" i="4"/>
  <c r="D557" i="4"/>
  <c r="E557" i="4"/>
  <c r="F557" i="4"/>
  <c r="G557" i="4"/>
  <c r="H557" i="4"/>
  <c r="A558" i="4"/>
  <c r="B558" i="4"/>
  <c r="C558" i="4"/>
  <c r="D558" i="4"/>
  <c r="E558" i="4"/>
  <c r="F558" i="4"/>
  <c r="G558" i="4"/>
  <c r="H558" i="4"/>
  <c r="A559" i="4"/>
  <c r="B559" i="4"/>
  <c r="C559" i="4"/>
  <c r="D559" i="4"/>
  <c r="E559" i="4"/>
  <c r="F559" i="4"/>
  <c r="G559" i="4"/>
  <c r="H559" i="4"/>
  <c r="A560" i="4"/>
  <c r="B560" i="4"/>
  <c r="C560" i="4"/>
  <c r="D560" i="4"/>
  <c r="E560" i="4"/>
  <c r="F560" i="4"/>
  <c r="G560" i="4"/>
  <c r="H560" i="4"/>
  <c r="A561" i="4"/>
  <c r="B561" i="4"/>
  <c r="C561" i="4"/>
  <c r="D561" i="4"/>
  <c r="E561" i="4"/>
  <c r="F561" i="4"/>
  <c r="G561" i="4"/>
  <c r="H561" i="4"/>
  <c r="A562" i="4"/>
  <c r="B562" i="4"/>
  <c r="C562" i="4"/>
  <c r="D562" i="4"/>
  <c r="E562" i="4"/>
  <c r="F562" i="4"/>
  <c r="G562" i="4"/>
  <c r="H562" i="4"/>
  <c r="A563" i="4"/>
  <c r="B563" i="4"/>
  <c r="C563" i="4"/>
  <c r="D563" i="4"/>
  <c r="E563" i="4"/>
  <c r="F563" i="4"/>
  <c r="G563" i="4"/>
  <c r="H563" i="4"/>
  <c r="A564" i="4"/>
  <c r="B564" i="4"/>
  <c r="C564" i="4"/>
  <c r="D564" i="4"/>
  <c r="E564" i="4"/>
  <c r="F564" i="4"/>
  <c r="G564" i="4"/>
  <c r="H564" i="4"/>
  <c r="A565" i="4"/>
  <c r="B565" i="4"/>
  <c r="C565" i="4"/>
  <c r="D565" i="4"/>
  <c r="E565" i="4"/>
  <c r="F565" i="4"/>
  <c r="G565" i="4"/>
  <c r="H565" i="4"/>
  <c r="A566" i="4"/>
  <c r="B566" i="4"/>
  <c r="C566" i="4"/>
  <c r="D566" i="4"/>
  <c r="E566" i="4"/>
  <c r="F566" i="4"/>
  <c r="G566" i="4"/>
  <c r="H566" i="4"/>
  <c r="A567" i="4"/>
  <c r="B567" i="4"/>
  <c r="C567" i="4"/>
  <c r="D567" i="4"/>
  <c r="E567" i="4"/>
  <c r="F567" i="4"/>
  <c r="G567" i="4"/>
  <c r="H567" i="4"/>
  <c r="A568" i="4"/>
  <c r="B568" i="4"/>
  <c r="C568" i="4"/>
  <c r="D568" i="4"/>
  <c r="E568" i="4"/>
  <c r="F568" i="4"/>
  <c r="G568" i="4"/>
  <c r="H568" i="4"/>
  <c r="A569" i="4"/>
  <c r="B569" i="4"/>
  <c r="C569" i="4"/>
  <c r="D569" i="4"/>
  <c r="E569" i="4"/>
  <c r="F569" i="4"/>
  <c r="G569" i="4"/>
  <c r="H569" i="4"/>
  <c r="A570" i="4"/>
  <c r="B570" i="4"/>
  <c r="C570" i="4"/>
  <c r="D570" i="4"/>
  <c r="E570" i="4"/>
  <c r="F570" i="4"/>
  <c r="G570" i="4"/>
  <c r="H570" i="4"/>
  <c r="A571" i="4"/>
  <c r="B571" i="4"/>
  <c r="C571" i="4"/>
  <c r="D571" i="4"/>
  <c r="E571" i="4"/>
  <c r="F571" i="4"/>
  <c r="G571" i="4"/>
  <c r="H571" i="4"/>
  <c r="A572" i="4"/>
  <c r="B572" i="4"/>
  <c r="C572" i="4"/>
  <c r="D572" i="4"/>
  <c r="E572" i="4"/>
  <c r="F572" i="4"/>
  <c r="G572" i="4"/>
  <c r="H572" i="4"/>
  <c r="A573" i="4"/>
  <c r="B573" i="4"/>
  <c r="C573" i="4"/>
  <c r="D573" i="4"/>
  <c r="E573" i="4"/>
  <c r="F573" i="4"/>
  <c r="G573" i="4"/>
  <c r="H573" i="4"/>
  <c r="A574" i="4"/>
  <c r="B574" i="4"/>
  <c r="C574" i="4"/>
  <c r="D574" i="4"/>
  <c r="E574" i="4"/>
  <c r="F574" i="4"/>
  <c r="G574" i="4"/>
  <c r="H574" i="4"/>
  <c r="A575" i="4"/>
  <c r="B575" i="4"/>
  <c r="C575" i="4"/>
  <c r="D575" i="4"/>
  <c r="E575" i="4"/>
  <c r="F575" i="4"/>
  <c r="G575" i="4"/>
  <c r="H575" i="4"/>
  <c r="A576" i="4"/>
  <c r="B576" i="4"/>
  <c r="C576" i="4"/>
  <c r="D576" i="4"/>
  <c r="E576" i="4"/>
  <c r="F576" i="4"/>
  <c r="G576" i="4"/>
  <c r="H576" i="4"/>
  <c r="A577" i="4"/>
  <c r="B577" i="4"/>
  <c r="C577" i="4"/>
  <c r="D577" i="4"/>
  <c r="E577" i="4"/>
  <c r="F577" i="4"/>
  <c r="G577" i="4"/>
  <c r="H577" i="4"/>
  <c r="A578" i="4"/>
  <c r="B578" i="4"/>
  <c r="C578" i="4"/>
  <c r="D578" i="4"/>
  <c r="E578" i="4"/>
  <c r="F578" i="4"/>
  <c r="G578" i="4"/>
  <c r="H578" i="4"/>
  <c r="A579" i="4"/>
  <c r="B579" i="4"/>
  <c r="C579" i="4"/>
  <c r="D579" i="4"/>
  <c r="E579" i="4"/>
  <c r="F579" i="4"/>
  <c r="G579" i="4"/>
  <c r="H579" i="4"/>
  <c r="A580" i="4"/>
  <c r="B580" i="4"/>
  <c r="C580" i="4"/>
  <c r="D580" i="4"/>
  <c r="E580" i="4"/>
  <c r="F580" i="4"/>
  <c r="G580" i="4"/>
  <c r="H580" i="4"/>
  <c r="A581" i="4"/>
  <c r="B581" i="4"/>
  <c r="C581" i="4"/>
  <c r="D581" i="4"/>
  <c r="E581" i="4"/>
  <c r="F581" i="4"/>
  <c r="G581" i="4"/>
  <c r="H581" i="4"/>
  <c r="A582" i="4"/>
  <c r="B582" i="4"/>
  <c r="C582" i="4"/>
  <c r="D582" i="4"/>
  <c r="E582" i="4"/>
  <c r="F582" i="4"/>
  <c r="G582" i="4"/>
  <c r="H582" i="4"/>
  <c r="A583" i="4"/>
  <c r="B583" i="4"/>
  <c r="C583" i="4"/>
  <c r="D583" i="4"/>
  <c r="E583" i="4"/>
  <c r="F583" i="4"/>
  <c r="G583" i="4"/>
  <c r="H583" i="4"/>
  <c r="A584" i="4"/>
  <c r="B584" i="4"/>
  <c r="C584" i="4"/>
  <c r="D584" i="4"/>
  <c r="E584" i="4"/>
  <c r="F584" i="4"/>
  <c r="G584" i="4"/>
  <c r="H584" i="4"/>
  <c r="A585" i="4"/>
  <c r="B585" i="4"/>
  <c r="C585" i="4"/>
  <c r="D585" i="4"/>
  <c r="E585" i="4"/>
  <c r="F585" i="4"/>
  <c r="G585" i="4"/>
  <c r="H585" i="4"/>
  <c r="A586" i="4"/>
  <c r="B586" i="4"/>
  <c r="C586" i="4"/>
  <c r="D586" i="4"/>
  <c r="E586" i="4"/>
  <c r="F586" i="4"/>
  <c r="G586" i="4"/>
  <c r="H586" i="4"/>
  <c r="A587" i="4"/>
  <c r="B587" i="4"/>
  <c r="C587" i="4"/>
  <c r="D587" i="4"/>
  <c r="E587" i="4"/>
  <c r="F587" i="4"/>
  <c r="G587" i="4"/>
  <c r="H587" i="4"/>
  <c r="A588" i="4"/>
  <c r="B588" i="4"/>
  <c r="C588" i="4"/>
  <c r="D588" i="4"/>
  <c r="E588" i="4"/>
  <c r="F588" i="4"/>
  <c r="G588" i="4"/>
  <c r="H588" i="4"/>
  <c r="A589" i="4"/>
  <c r="B589" i="4"/>
  <c r="C589" i="4"/>
  <c r="D589" i="4"/>
  <c r="E589" i="4"/>
  <c r="F589" i="4"/>
  <c r="G589" i="4"/>
  <c r="H589" i="4"/>
  <c r="A590" i="4"/>
  <c r="B590" i="4"/>
  <c r="C590" i="4"/>
  <c r="D590" i="4"/>
  <c r="E590" i="4"/>
  <c r="F590" i="4"/>
  <c r="G590" i="4"/>
  <c r="H590" i="4"/>
  <c r="A591" i="4"/>
  <c r="B591" i="4"/>
  <c r="C591" i="4"/>
  <c r="D591" i="4"/>
  <c r="E591" i="4"/>
  <c r="F591" i="4"/>
  <c r="G591" i="4"/>
  <c r="H591" i="4"/>
  <c r="A592" i="4"/>
  <c r="B592" i="4"/>
  <c r="C592" i="4"/>
  <c r="D592" i="4"/>
  <c r="E592" i="4"/>
  <c r="F592" i="4"/>
  <c r="G592" i="4"/>
  <c r="H592" i="4"/>
  <c r="A593" i="4"/>
  <c r="B593" i="4"/>
  <c r="C593" i="4"/>
  <c r="D593" i="4"/>
  <c r="E593" i="4"/>
  <c r="F593" i="4"/>
  <c r="G593" i="4"/>
  <c r="H593" i="4"/>
  <c r="A594" i="4"/>
  <c r="B594" i="4"/>
  <c r="C594" i="4"/>
  <c r="D594" i="4"/>
  <c r="E594" i="4"/>
  <c r="F594" i="4"/>
  <c r="G594" i="4"/>
  <c r="H594" i="4"/>
  <c r="A595" i="4"/>
  <c r="B595" i="4"/>
  <c r="C595" i="4"/>
  <c r="D595" i="4"/>
  <c r="E595" i="4"/>
  <c r="F595" i="4"/>
  <c r="G595" i="4"/>
  <c r="H595" i="4"/>
  <c r="A596" i="4"/>
  <c r="B596" i="4"/>
  <c r="C596" i="4"/>
  <c r="D596" i="4"/>
  <c r="E596" i="4"/>
  <c r="F596" i="4"/>
  <c r="G596" i="4"/>
  <c r="H596" i="4"/>
  <c r="A597" i="4"/>
  <c r="B597" i="4"/>
  <c r="C597" i="4"/>
  <c r="D597" i="4"/>
  <c r="E597" i="4"/>
  <c r="F597" i="4"/>
  <c r="G597" i="4"/>
  <c r="H597" i="4"/>
  <c r="A598" i="4"/>
  <c r="B598" i="4"/>
  <c r="C598" i="4"/>
  <c r="D598" i="4"/>
  <c r="E598" i="4"/>
  <c r="F598" i="4"/>
  <c r="G598" i="4"/>
  <c r="H598" i="4"/>
  <c r="A599" i="4"/>
  <c r="B599" i="4"/>
  <c r="C599" i="4"/>
  <c r="D599" i="4"/>
  <c r="E599" i="4"/>
  <c r="F599" i="4"/>
  <c r="G599" i="4"/>
  <c r="H599" i="4"/>
  <c r="A600" i="4"/>
  <c r="B600" i="4"/>
  <c r="C600" i="4"/>
  <c r="D600" i="4"/>
  <c r="E600" i="4"/>
  <c r="F600" i="4"/>
  <c r="G600" i="4"/>
  <c r="H600" i="4"/>
  <c r="H2" i="4"/>
  <c r="E2" i="4" s="1"/>
  <c r="G2" i="4"/>
  <c r="F2" i="4"/>
  <c r="D2" i="4"/>
  <c r="C2" i="4"/>
  <c r="B2" i="4"/>
  <c r="A2" i="4"/>
</calcChain>
</file>

<file path=xl/sharedStrings.xml><?xml version="1.0" encoding="utf-8"?>
<sst xmlns="http://schemas.openxmlformats.org/spreadsheetml/2006/main" count="3845" uniqueCount="2682">
  <si>
    <t>Телефон</t>
  </si>
  <si>
    <t>Сумма иска</t>
  </si>
  <si>
    <t>Cуд</t>
  </si>
  <si>
    <t>E-mail</t>
  </si>
  <si>
    <t>Ссылка на дело</t>
  </si>
  <si>
    <t>Номер дела</t>
  </si>
  <si>
    <t>Адрес ответчика</t>
  </si>
  <si>
    <t>Руководитель ответчика</t>
  </si>
  <si>
    <t>ОКВЕД Ответчика</t>
  </si>
  <si>
    <t>всего, судебных дел по данному ответчику</t>
  </si>
  <si>
    <t>Дата подачи иска</t>
  </si>
  <si>
    <t>Наименование истца</t>
  </si>
  <si>
    <t>Наименование ответчика</t>
  </si>
  <si>
    <t>ИНН Истца</t>
  </si>
  <si>
    <t>ИНН Ответчика</t>
  </si>
  <si>
    <t>Истец сокращенно</t>
  </si>
  <si>
    <t>Ссылка на истца</t>
  </si>
  <si>
    <t>Ссылка на ответчика</t>
  </si>
  <si>
    <t>Ответчик сокращенно</t>
  </si>
  <si>
    <t>Сайт ответчика</t>
  </si>
  <si>
    <t>ИНН руководителя ответчика</t>
  </si>
  <si>
    <t>Последний акт</t>
  </si>
  <si>
    <t>№</t>
  </si>
  <si>
    <t>ИО руководителя ответчика</t>
  </si>
  <si>
    <t>ovchin_nn@mail.ru</t>
  </si>
  <si>
    <t>+7 (910) 131-18-94_x000D_
+7 (910) 143-33-00</t>
  </si>
  <si>
    <t>https://kad.arbitr.ru/Card/5472b022-160c-4aab-b9b4-0d8e51681078</t>
  </si>
  <si>
    <t>А40-34987/2024</t>
  </si>
  <si>
    <t>ООО "Комплексная Безопасность"</t>
  </si>
  <si>
    <t>5038076713</t>
  </si>
  <si>
    <t>ООО "Артал Строй"</t>
  </si>
  <si>
    <t>5262277538</t>
  </si>
  <si>
    <t>Родионов Артем Игоревич</t>
  </si>
  <si>
    <t>526211125912</t>
  </si>
  <si>
    <t>607687, Нижегородская область, Кстовский район, село Ближнее Борисово, Школьная ул, д. 18, офис 2</t>
  </si>
  <si>
    <t>АС города Москвы</t>
  </si>
  <si>
    <t>Производство электромонтажных, санитарно-технических и прочих строительно-монтажных работ (43.2)</t>
  </si>
  <si>
    <t>ОБЩЕСТВО С ОГРАНИЧЕННОЙ ОТВЕТСТВЕННОСТЬЮ "КОМПЛЕКСНАЯ БЕЗОПАСНОСТЬ"</t>
  </si>
  <si>
    <t>ОБЩЕСТВО С ОГРАНИЧЕННОЙ ОТВЕТСТВЕННОСТЬЮ "АРТАЛ СТРОЙ"</t>
  </si>
  <si>
    <t>Заявление Исковое заявление</t>
  </si>
  <si>
    <t>az8767@yandex.ru</t>
  </si>
  <si>
    <t>https://kad.arbitr.ru/Card/ad2a085e-f257-47b0-aa45-3b5f9b2ccdf9</t>
  </si>
  <si>
    <t>А40-34970/2024</t>
  </si>
  <si>
    <t>ИФНС России № 10 по Г. Москве</t>
  </si>
  <si>
    <t>7710047253</t>
  </si>
  <si>
    <t>ООО "Фортуна"</t>
  </si>
  <si>
    <t>9710110269</t>
  </si>
  <si>
    <t>Ооржак Олча Май Оглу</t>
  </si>
  <si>
    <t>171802124419</t>
  </si>
  <si>
    <t>125375, город Москва, Козицкий пер, д. 1а стр. 2, помещ. 3/3</t>
  </si>
  <si>
    <t>Деятельность по комплексному обслуживанию помещений (81.10)</t>
  </si>
  <si>
    <t>ИНСПЕКЦИЯ ФЕДЕРАЛЬНОЙ НАЛОГОВОЙ СЛУЖБЫ № 10 ПО Г. МОСКВЕ</t>
  </si>
  <si>
    <t>ОБЩЕСТВО С ОГРАНИЧЕННОЙ ОТВЕТСТВЕННОСТЬЮ "ФОРТУНА"</t>
  </si>
  <si>
    <t>Определение О принятии заявления о признании должника банкротом</t>
  </si>
  <si>
    <t>rzd@rzd.ru_x000D_
poddymnikovaov@wsr.ru_x000D_
DKRE-Mahalov@kbsh.rzd.ru_x000D_
dtv-3.rzd@bk.ru_x000D_
echekunova@skzd.rzd.ru_x000D_
EPBelenkaiakr@skzd.rzd.ru_x000D_
fax@css.rzd.ru_x000D_
gorkdmkadr@gmail.com_x000D_
kuzmenkovagv@center.rzd.ru_x000D_
mivc@mzd.ru_x000D_
mrzd_KostrovaSA@orw.ru_x000D_
NEKolesnikova@serw.ru_x000D_
Ngs_s@svrw.ru_x000D_
sevtcfto@yandex.ru_x000D_
TuizovaTA@mail.zabtrans.ru</t>
  </si>
  <si>
    <t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t>
  </si>
  <si>
    <t>http://www.e-disclosure.ru/portal/company.aspx?id=4543_x000D_
http://www.rzd.ru/_x000D_
http://altaitursib.ru/_x000D_
http://dss-sverdl.ru/_x000D_
http://dzvr.ru/about/structure/_x000D_
http://krw.ru/_x000D_
http://kzd.web.rzd/_x000D_
http://rzd.ru/_x000D_
http://www.cm.rzd.ru/_x000D_
http://www.css-rzd.ru/_x000D_
http://www.kras.rzd.ru/_x000D_
http://www.nrr.cm.rzd.ru/_x000D_
http://www.pkbct.ru/_x000D_
http://www.rmzhoper.ru/_x000D_
http://www.rzd.ru/ent/public/ru?STRUCTURE_ID=5185&amp;amp;layer_id=5554&amp;amp;refererLayerId=5553&amp;amp;id=1015_x000D_
http://www.rzd.ru/ent/public/ru?STRUCTURE_ID=5185&amp;amp;layer_id=5554&amp;amp;refererLayerId=5553&amp;amp;id=4347_x000D_
http://www.trudvsem.ru/_x000D_
http://www.uvzd.rzd.ru/_x000D_
http://www.web.rzd/_x000D_
https://www.list-org.com/go?site=804719</t>
  </si>
  <si>
    <t>https://kad.arbitr.ru/Card/6eac2fac-753c-4acd-8fe0-fbcbcbd534ba</t>
  </si>
  <si>
    <t>А40-34838/2024</t>
  </si>
  <si>
    <t>АО "Нефтетранссервис"</t>
  </si>
  <si>
    <t>7731537410</t>
  </si>
  <si>
    <t>ОАО "РЖД"</t>
  </si>
  <si>
    <t>7708503727</t>
  </si>
  <si>
    <t>Белозёров Олег Валентинович</t>
  </si>
  <si>
    <t>781306504007</t>
  </si>
  <si>
    <t>107174, город Москва, Новая Басманная ул, д. 2/1 стр. 1</t>
  </si>
  <si>
    <t>Деятельность железнодорожного транспорта: грузовые перевозки (49.20)</t>
  </si>
  <si>
    <t>АКЦИОНЕРНОЕ ОБЩЕСТВО "НЕФТЕТРАНССЕРВИС"</t>
  </si>
  <si>
    <t>ОТКРЫТОЕ АКЦИОНЕРНОЕ ОБЩЕСТВО "РОССИЙСКИЕ ЖЕЛЕЗНЫЕ ДОРОГИ"</t>
  </si>
  <si>
    <t>+7 (916) 428-25-05</t>
  </si>
  <si>
    <t>https://kad.arbitr.ru/Card/e429a3d5-ded7-42bd-a388-6a75c4919dee</t>
  </si>
  <si>
    <t>А40-34726/2024</t>
  </si>
  <si>
    <t>ООО "Акрополь Инжиниринг"</t>
  </si>
  <si>
    <t>7706682252</t>
  </si>
  <si>
    <t>ООО "НЖС"</t>
  </si>
  <si>
    <t>7728420282</t>
  </si>
  <si>
    <t>Шевацуков Константин Юрьевич</t>
  </si>
  <si>
    <t>010517174225</t>
  </si>
  <si>
    <t>115184, город Москва, Большая Татарская ул., д. 35 стр. 3, э 5 п II к 2-4,9 ч/к 1,5,10</t>
  </si>
  <si>
    <t>Торговля оптовая лесоматериалами, строительными материалами и санитарно-техническим оборудованием (46.73)</t>
  </si>
  <si>
    <t>ОБЩЕСТВО С ОГРАНИЧЕННОЙ ОТВЕТСТВЕННОСТЬЮ "АКРОПОЛЬ ИНЖИНИРИНГ"</t>
  </si>
  <si>
    <t>ОБЩЕСТВО С ОГРАНИЧЕННОЙ ОТВЕТСТВЕННОСТЬЮ "НЖСТРОЙ"</t>
  </si>
  <si>
    <t>https://kad.arbitr.ru/Card/af4fa098-eda4-470d-9bab-7ced56ed221a</t>
  </si>
  <si>
    <t>А40-34801/2024</t>
  </si>
  <si>
    <t>ООО "Екс-Групп"</t>
  </si>
  <si>
    <t>7723435782</t>
  </si>
  <si>
    <t>ИП Гасангусейнов Вазир Султанович</t>
  </si>
  <si>
    <t>052600742828</t>
  </si>
  <si>
    <t>Гасангусейнов Вазир Султанович</t>
  </si>
  <si>
    <t xml:space="preserve">   Калужская область, Жуковский район, город Белоусово  </t>
  </si>
  <si>
    <t>Деятельность легкового такси и арендованных легковых автомобилей с водителем (49.32)</t>
  </si>
  <si>
    <t>ОБЩЕСТВО С ОГРАНИЧЕННОЙ ОТВЕТСТВЕННОСТЬЮ "ЕКС-ГРУПП"</t>
  </si>
  <si>
    <t>+7 (495) 120-28-80</t>
  </si>
  <si>
    <t>http://hotsto.ru/</t>
  </si>
  <si>
    <t>https://kad.arbitr.ru/Card/be5bb01c-cf29-4565-8732-313c24509676</t>
  </si>
  <si>
    <t>А40-34707/2024</t>
  </si>
  <si>
    <t>Департамент городского Имущества Города Москвы</t>
  </si>
  <si>
    <t>7705031674</t>
  </si>
  <si>
    <t>ООО "Горячий Ключ"</t>
  </si>
  <si>
    <t>7725457502</t>
  </si>
  <si>
    <t>Асгарли Алигулу Ильгар Оглы</t>
  </si>
  <si>
    <t>972905922903</t>
  </si>
  <si>
    <t>125480, город Москва, Туристская ул, д. 20 к. 1, помещ. XVI ком. 3</t>
  </si>
  <si>
    <t>Аренда и управление собственным или арендованным недвижимым имуществом (68.20)</t>
  </si>
  <si>
    <t>ДЕПАРТАМЕНТ ГОРОДСКОГО ИМУЩЕСТВА ГОРОДА МОСКВЫ</t>
  </si>
  <si>
    <t>ОБЩЕСТВО С ОГРАНИЧЕННОЙ ОТВЕТСТВЕННОСТЬЮ "ГОРЯЧИЙ КЛЮЧ"</t>
  </si>
  <si>
    <t>info@1vrk.ru_x000D_
ovalenkorv@center.rzd.ru_x000D_
alsm_reception@1vrk.ru_x000D_
alzm_reception@1vrk.ru_x000D_
alzm_sokolovaes@1vrk.ru_x000D_
aovrk@mail.ru_x000D_
filatovanb@1vrk.ru_x000D_
grishakovaes@1vrk.ru_x000D_
it@1vrk.ru_x000D_
lydmilka4832@yandex.ru_x000D_
makovaea@irk.esr.ru_x000D_
makovaea@irk.esrr.ru_x000D_
makovaev@irk.esrr.ru_x000D_
makovaeva@irk.esrr.ru_x000D_
martynovaaa@1vrk.ru_x000D_
pl2@mail.ru_x000D_
pl_2@mail.ru_x000D_
posiseevann@1vrk.rzd_x000D_
pl_2bryansk@mail.ru_x000D_
ulan_krivolapovaaa@1vrk.rzd_x000D_
vchd12_komarovaOO@psk.orw.rzd</t>
  </si>
  <si>
    <t>+7 (499) 260-40-00_x000D_
+7 (4832) 60-55-48_x000D_
+7 (4832) 63-02-26_x000D_
+7 (4832) 60-22-22_x000D_
+7 (3955) 75-57-30_x000D_
+7 (3955) 75-57-33_x000D_
+7 (3955) 76-14-06_x000D_
+7 (499) 262-28-46_x000D_
+7 (950) 089-92-94_x000D_
+7 (3012) 28-21-71_x000D_
+7 (499) 260-40-50_x000D_
+7 (812) 436-61-53_x000D_
+7 (81837) 6-26-43_x000D_
+7 (84663) 2-19-75_x000D_
+7 (863) 259-08-48_x000D_
+7 (914) 176-98-95_x000D_
+7 (3955) 75-57-36_x000D_
+7 (950) 075-17-94_x000D_
+7 (812) 436-61-44_x000D_
+7 (383) 337-94-01_x000D_
+7 (3519) 44-72-22_x000D_
+7 (499) 260-71-22_x000D_
+7 (3012) 28-22-22_x000D_
+7 (3012) 28-22-58_x000D_
+7 (34256) 9-22-22_x000D_
+7 (343) 310-90-69_x000D_
+7 (343) 310-91-65_x000D_
+7 (34551) 5-22-22_x000D_
+7 (34551) 5-26-87_x000D_
+7 (3812) 44-20-61_x000D_
+7 (3812) 44-21-65_x000D_
+7 (3812) 44-99-33_x000D_
+7 (383) 229-92-87_x000D_
+7 (38448) 2-24-39_x000D_
+7 (38456) 7-37-64_x000D_
+7 (39563) 5-32-20_x000D_
+7 (39563) 5-38-40_x000D_
+7 (4212) 38-82-58_x000D_
+7 (4234) 25-30-35_x000D_
+7 (4234) 38-15-35_x000D_
+7 (42355) 4-24-21_x000D_
+7 (4725) 41-17-52_x000D_
+7 (47376) 2-27-34_x000D_
+7 (491) 375-16-26_x000D_
+7 (49644) 2-47-55_x000D_
+7 (49644) 2-55-55_x000D_
+7 (499) 623-51-40_x000D_
+7 (499) 623-51-62_x000D_
+7 (8112) 70-71-11_x000D_
+7 (8112) 70-79-08_x000D_
+7 (81361) 2-01-06_x000D_
+7 (81361) 2-80-04_x000D_
+7 (8142) 79-36-04_x000D_
+7 (8142) 79-36-75_x000D_
+7 (81533) 3-36-04_x000D_
+7 (81533) 4-33-02_x000D_
+7 (8172) 79-69-61_x000D_
+7 (81837) 6-22-22_x000D_
+7 (831) 248-52-22_x000D_
+7 (833) 260-52-22_x000D_
+7 (833) 260-61-00_x000D_
+7 (8412) 58-72-22_x000D_
+7 (8412) 58-72-64_x000D_
+7 (8452) 41-38-69_x000D_
+7 (8452) 41-75-09_x000D_
+7 (846) 303-95-00_x000D_
+7 (846) 303-95-39_x000D_
+7 (8464) 33-32-80, доб 6_x000D_
+7 (8464) 33-38-40, доб 6_x000D_
+7 (84663) 2-19-74_x000D_
+7 (8512) 32-52-55_x000D_
+7 (8612) 14-79-14_x000D_
+7 (863) 259-08-50_x000D_
+7 (863) 259-48-91_x000D_
+7 (86354) 4-54-37_x000D_
+7 (911) 957-27-96_x000D_
+7 (915) 607-33-06_x000D_
+7 (918) 508-91-11_x000D_
+7 (960) 993-79-10_x000D_
+7 (984) 277-02-89_x000D_
+7 (499) 260-00-00_x000D_
+7 (3955) 77-26-10_x000D_
+7 (4832) 60-32-33, доб 7070_x000D_
+7 (4832) 60-39-49_x000D_
+7 (4832) 60-22-56_x000D_
+7 (499) 260-49-09_x000D_
+7 (499) 260-49-66_x000D_
+7 (86354) 4-23-61_x000D_
+7 (499) 262-66-66_x000D_
+7 (846) 303-95-02, доб 303_x000D_
+7 (950) 630-39-53, доб 9_x000D_
+7 (495) 260-40-00_x000D_
+7 (499) 262-00-58_x000D_
+7 (4212) 31-58-56_x000D_
+7 (39173) 9-31-97_x000D_
+7 (846) 303-95-02_x000D_
+7 (812) 457-53-88_x000D_
+7 (812) 436-20-36_x000D_
+7 (911) 848-78-23_x000D_
+7 (499) 260-40-68</t>
  </si>
  <si>
    <t>http://1vrk.ru/_x000D_
http://www.1vrk.ru/</t>
  </si>
  <si>
    <t>https://kad.arbitr.ru/Card/bcb1cce1-9a5e-4605-a4c7-7b5a5c91dee7</t>
  </si>
  <si>
    <t>А40-34588/2024</t>
  </si>
  <si>
    <t>АО "Уголь-Транс"</t>
  </si>
  <si>
    <t>5047210316</t>
  </si>
  <si>
    <t>АО "ВРК-1"</t>
  </si>
  <si>
    <t>7708737490</t>
  </si>
  <si>
    <t>Белюгин Владимир Николаевич</t>
  </si>
  <si>
    <t>614100627878</t>
  </si>
  <si>
    <t>129090, город Москва, Каланчевская ул., д.35</t>
  </si>
  <si>
    <t>Деятельность вспомогательная, связанная с железнодорожным транспортом (52.21.1)</t>
  </si>
  <si>
    <t>АКЦИОНЕРНОЕ ОБЩЕСТВО "УГОЛЬ-ТРАНС"</t>
  </si>
  <si>
    <t>АКЦИОНЕРНОЕ ОБЩЕСТВО "ВАГОННАЯ РЕМОНТНАЯ КОМПАНИЯ - 1"</t>
  </si>
  <si>
    <t>https://kad.arbitr.ru/Card/59ecda4f-b0e5-4a13-98a2-8c43e20e9bfc</t>
  </si>
  <si>
    <t>А40-34679/2024</t>
  </si>
  <si>
    <t>Ассоциация СРО "Центррегион"</t>
  </si>
  <si>
    <t>7722309947</t>
  </si>
  <si>
    <t>ООО "Бизнес-Капитал"</t>
  </si>
  <si>
    <t>7751001635</t>
  </si>
  <si>
    <t>Холоднюк Дмитрий Александрович</t>
  </si>
  <si>
    <t>730696467315</t>
  </si>
  <si>
    <t>142134, город Москва, поселение Рязановское, поселок Знамя Октября, мкр Родники, д. 1, кв. 69</t>
  </si>
  <si>
    <t>Производство прочих строительно-монтажных работ (43.29)</t>
  </si>
  <si>
    <t>АССОЦИАЦИЯ ПО ЗАЩИТЕ ПРАВ И ЗАКОННЫХ ИНТЕРЕСОВ ЛИЦ, ОСУЩЕСТВЛЯЮЩИХ СТРОИТЕЛЬСТВО, САМОРЕГУЛИРУЕМАЯ ОРГАНИЗАЦИЯ "ЦЕНТРРЕГИОН"</t>
  </si>
  <si>
    <t>ОБЩЕСТВО С ОГРАНИЧЕННОЙ ОТВЕТСТВЕННОСТЬЮ "БИЗНЕС-КАПИТАЛ"</t>
  </si>
  <si>
    <t>gsorokina@moskomzem.ru_x000D_
ageevais@mos.ru_x000D_
barashkovaev@mos.ru_x000D_
dgi@mail.ru_x000D_
dgi@mos.ru_x000D_
dgi_news@mosa.ru_x000D_
kadyrovnn@mos.ru_x000D_
kiti0506@mail.ru_x000D_
mirskovaen@mos.ru_x000D_
polprchuv@cap.ru_x000D_
prusakovayv@mos.ru_x000D_
saraevaei@mos.ru_x000D_
zelao@mail.ru_x000D_
digm@mos.ru</t>
  </si>
  <si>
    <t>+7 (495) 699-72-50_x000D_
+7 (495) 959-18-02_x000D_
+7 (495) 331-02-22_x000D_
+7 (495) 587-70-87_x000D_
+7 (495) 625-45-13_x000D_
+7 (495) 634-01-27_x000D_
+7 (495) 675-46-24_x000D_
+7 (495) 953-21-56_x000D_
+7 (495) 957-75-00_x000D_
+7 (495) 959-09-75_x000D_
+7 (495) 959-19-03_x000D_
+7 (495) 959-19-13_x000D_
+7 (495) 959-19-59_x000D_
+7 (495) 959-53-39_x000D_
+7 (499) 268-56-70_x000D_
+7 (499) 380-80-84_x000D_
+7 (495) 625-45-15_x000D_
+7 (495) 777-77-77_x000D_
+7 (495) 699-20-48_x000D_
+7 (495) 362-14-63_x000D_
+7 (495) 959-19-82_x000D_
+7 (495) 957-98-53_x000D_
+7 (499) 648-05-64_x000D_
+7 (495) 959-18-88_x000D_
+7 (499) 233-97-39_x000D_
+7 (495) 959-19-55_x000D_
+7 (495) 955-53-08_x000D_
+7 (495) 122-19-27, доб 1302_x000D_
+7 (495) 955-53-79_x000D_
+7 (495) 955-51-96_x000D_
+7 (495) 955-53-68_x000D_
+7 (495) 142-12-32_x000D_
+7 (499) 649-39-23_x000D_
+7 (499) 959-18-02_x000D_
+7 (495) 959-18-22_x000D_
+7 (495) 777-77-77, доб 7_x000D_
+7 (499) 000-00-00_x000D_
+7 (495) 957-99-77</t>
  </si>
  <si>
    <t>http://dgi.mos.ru/_x000D_
http://dzr.mos.ru/</t>
  </si>
  <si>
    <t>https://kad.arbitr.ru/Card/ab94cc3a-d04c-413f-ac81-57b123fbe265</t>
  </si>
  <si>
    <t>А40-34515/2024</t>
  </si>
  <si>
    <t>АО "Специализированный Застройщик ТПУ "Рассказовка"</t>
  </si>
  <si>
    <t>7701387398</t>
  </si>
  <si>
    <t>Гаман Максим Федорович</t>
  </si>
  <si>
    <t>691408455881</t>
  </si>
  <si>
    <t>123112, город Москва, 1-й Красногвардейский пр-д, д. 21 стр. 1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</si>
  <si>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 (84.11.21)</t>
  </si>
  <si>
    <t>АКЦИОНЕРНОЕ ОБЩЕСТВО "СПЕЦИАЛИЗИРОВАННЫЙ ЗАСТРОЙЩИК ТРАНСПОРТНО-ПЕРЕСАДОЧНЫЙ УЗЕЛ "РАССКАЗОВКА"</t>
  </si>
  <si>
    <t>https://kad.arbitr.ru/Card/3a21f6db-26af-410c-9ecc-a36f81016b42</t>
  </si>
  <si>
    <t>А40-34376/2024</t>
  </si>
  <si>
    <t>ООО "Сапфир-Агро"</t>
  </si>
  <si>
    <t>4626006302</t>
  </si>
  <si>
    <t>ОБЩЕСТВО С ОГРАНИЧЕННОЙ ОТВЕТСТВЕННОСТЬЮ "САПФИР-АГРО"</t>
  </si>
  <si>
    <t>https://kad.arbitr.ru/Card/41a9bb3f-b000-4ac2-ba55-628ca0d6c767</t>
  </si>
  <si>
    <t>А40-34438/2024</t>
  </si>
  <si>
    <t>АО "Трест КХМ"</t>
  </si>
  <si>
    <t>7705098679</t>
  </si>
  <si>
    <t>ООО "Аэрогаз"</t>
  </si>
  <si>
    <t>7725715055</t>
  </si>
  <si>
    <t>Имаев Салават Зайнетдинович</t>
  </si>
  <si>
    <t>501301400181</t>
  </si>
  <si>
    <t>121205, город Москва, тер Инновационного Центра Сколково, Большой б-р, д. 42 стр. 1, помещ. 376 раб. место 11</t>
  </si>
  <si>
    <t>Научные исследования и разработки в области естественных и технических наук прочие (72.19)</t>
  </si>
  <si>
    <t>АКЦИОНЕРНОЕ ОБЩЕСТВО "ТРЕСТ КОКСОХИММОНТАЖ"</t>
  </si>
  <si>
    <t>ОБЩЕСТВО С ОГРАНИЧЕННОЙ ОТВЕТСТВЕННОСТЬЮ "АЭРОГАЗ"</t>
  </si>
  <si>
    <t>info@rst26.ru_x000D_
mup-zarya@mail.ru_x000D_
mup-zarya@yandex.ru_x000D_
shu-nn@rst26.ru_x000D_
z61380@yandex.ru_x000D_
zarya@mail.ru_x000D_
zem_ye@rst26.ru_x000D_
zarya@yandex.ru</t>
  </si>
  <si>
    <t>+7 (49679) 6-13-80_x000D_
+7 (49679) 6-13-79</t>
  </si>
  <si>
    <t>http://www.zarya-zhilservis.ru/</t>
  </si>
  <si>
    <t>https://kad.arbitr.ru/Card/f33298f7-5d05-454a-9542-f42696be9829</t>
  </si>
  <si>
    <t>А40-34333/2024</t>
  </si>
  <si>
    <t>АО "Мосэнергосбыт"</t>
  </si>
  <si>
    <t>7736520080</t>
  </si>
  <si>
    <t>ОАО "Заря-Жилсервис"</t>
  </si>
  <si>
    <t>5009070386</t>
  </si>
  <si>
    <t>Руднев Александр Борисович</t>
  </si>
  <si>
    <t>500906686417</t>
  </si>
  <si>
    <t>142062, Московская область, город Домодедово, село Растуново, ул. Заря, стр. 26</t>
  </si>
  <si>
    <t>Управление эксплуатацией жилого фонда за вознаграждение или на договорной основе (68.32.1)</t>
  </si>
  <si>
    <t>АКЦИОНЕРНОЕ ОБЩЕСТВО "МОСЭНЕРГОСБЫТ"</t>
  </si>
  <si>
    <t>ОТКРЫТОЕ АКЦИОНЕРНОЕ ОБЩЕСТВО "ЗАРЯ-ЖИЛСЕРВИС"</t>
  </si>
  <si>
    <t>alexander.melnikov@foodcards.ru</t>
  </si>
  <si>
    <t>https://kad.arbitr.ru/Card/27165634-8e77-4687-a1b5-95427b9dab84</t>
  </si>
  <si>
    <t>А40-34362/2024</t>
  </si>
  <si>
    <t>ООО "Отель "Рига Ленд"</t>
  </si>
  <si>
    <t>5024134531</t>
  </si>
  <si>
    <t>ООО "Фуд Сервис Восток"</t>
  </si>
  <si>
    <t>7725799866</t>
  </si>
  <si>
    <t>Росол Артем Владимирович</t>
  </si>
  <si>
    <t>324105716992</t>
  </si>
  <si>
    <t>127287, город Москва, ул Хуторская 2-Я, д. 38а стр. 15, помещ. IX, кабинет № 64</t>
  </si>
  <si>
    <t>Деятельность по предоставлению прочих вспомогательных услуг для бизнеса, не включенная в другие группировки (82.99)</t>
  </si>
  <si>
    <t>ОБЩЕСТВО С ОГРАНИЧЕННОЙ ОТВЕТСТВЕННОСТЬЮ "ОТЕЛЬ "РИГА ЛЕНД"</t>
  </si>
  <si>
    <t>ОБЩЕСТВО С ОГРАНИЧЕННОЙ ОТВЕТСТВЕННОСТЬЮ "ФУД СЕРВИС ВОСТОК"</t>
  </si>
  <si>
    <t>+7 (383) 213-08-73</t>
  </si>
  <si>
    <t>https://kad.arbitr.ru/Card/a115eafb-218f-4eed-a30b-166cfb1b3e60</t>
  </si>
  <si>
    <t>А40-34332/2024</t>
  </si>
  <si>
    <t>ООО "Яндекс.Такси"</t>
  </si>
  <si>
    <t>7704340310</t>
  </si>
  <si>
    <t>ООО "Стар"</t>
  </si>
  <si>
    <t>5408017070</t>
  </si>
  <si>
    <t>Головкова Евгения Александровна</t>
  </si>
  <si>
    <t>540817868153</t>
  </si>
  <si>
    <t>630117, Новосибирская область, город Новосибирск, ул. Иванова, д. 27, кв. 323</t>
  </si>
  <si>
    <t>Деятельность ресторанов и услуги по доставке продуктов питания (56.10)</t>
  </si>
  <si>
    <t>ОБЩЕСТВО С ОГРАНИЧЕННОЙ ОТВЕТСТВЕННОСТЬЮ "ЯНДЕКС.ТАКСИ"</t>
  </si>
  <si>
    <t>ОБЩЕСТВО С ОГРАНИЧЕННОЙ ОТВЕТСТВЕННОСТЬЮ "СТАР"</t>
  </si>
  <si>
    <t>+7 (926) 584-55-56</t>
  </si>
  <si>
    <t>https://kad.arbitr.ru/Card/daf10b0d-4ccd-4967-82db-3753b302302f</t>
  </si>
  <si>
    <t>А40-34274/2024</t>
  </si>
  <si>
    <t>ООО "Интегрум"</t>
  </si>
  <si>
    <t>7724947688</t>
  </si>
  <si>
    <t>ООО "Инком СБ"</t>
  </si>
  <si>
    <t>5050100320</t>
  </si>
  <si>
    <t>Кюрпя Иван Николаевич</t>
  </si>
  <si>
    <t>670501775401</t>
  </si>
  <si>
    <t>141103, Московская область, город Щёлково, ул. Бахчиванджи, д. 7, помещ. №4, цокольный этаж</t>
  </si>
  <si>
    <t>ОБЩЕСТВО С ОГРАНИЧЕННОЙ ОТВЕТСТВЕННОСТЬЮ "ИНТЕГРУМ"</t>
  </si>
  <si>
    <t>ОБЩЕСТВО С ОГРАНИЧЕННОЙ ОТВЕТСТВЕННОСТЬЮ "ИНТЕГРИРОВАННЫЕ КОМПЛЕКСНЫЕ СИСТЕМЫ БЕЗОПАСНОСТИ"</t>
  </si>
  <si>
    <t>https://kad.arbitr.ru/Card/8bc3dd64-8b32-4c95-8d07-b2d14b69e4ee</t>
  </si>
  <si>
    <t>А40-34270/2024</t>
  </si>
  <si>
    <t>ООО "Стар Строй"</t>
  </si>
  <si>
    <t>7728471985</t>
  </si>
  <si>
    <t>ООО "Энергопроект"</t>
  </si>
  <si>
    <t>7751141921</t>
  </si>
  <si>
    <t>Меджидов Шалбуз Энверович</t>
  </si>
  <si>
    <t>054205291007</t>
  </si>
  <si>
    <t>115114, город Москва, 2-Й Павелецкий проезд, д. 5 стр. 1, подв. № 0 оф. 7</t>
  </si>
  <si>
    <t>Строительство жилых и нежилых зданий (41.20)</t>
  </si>
  <si>
    <t>ОБЩЕСТВО С ОГРАНИЧЕННОЙ ОТВЕТСТВЕННОСТЬЮ "СТАР СТРОЙ"</t>
  </si>
  <si>
    <t>ОБЩЕСТВО С ОГРАНИЧЕННОЙ ОТВЕТСТВЕННОСТЬЮ "ЭНЕРГОПРОЕКТ"</t>
  </si>
  <si>
    <t>ap@ipzavod.ru_x000D_
v.bugaeva@ipzavod.ru_x000D_
e.isaeva@ipzavod.ru_x000D_
ik@ipzavod.ru_x000D_
ns@ipzavod.ru</t>
  </si>
  <si>
    <t>+7 (4876) 27-04-40_x000D_
+7 (4876) 27-06-08_x000D_
+7 (910) 702-40-80_x000D_
+7 (495) 369-02-36</t>
  </si>
  <si>
    <t>https://kad.arbitr.ru/Card/5d4d1879-fe27-477c-a7b0-616424d837e9</t>
  </si>
  <si>
    <t>А40-33874/2024</t>
  </si>
  <si>
    <t>ООО "Союз Св. Иоанна Воина"</t>
  </si>
  <si>
    <t>7729705354</t>
  </si>
  <si>
    <t>ООО "Тульский Винокуренный Завод 1911"</t>
  </si>
  <si>
    <t>7751507541</t>
  </si>
  <si>
    <t>Щербенев Сергей Николаевич</t>
  </si>
  <si>
    <t>231104996872</t>
  </si>
  <si>
    <t>301733, Тульская область, Кимовский район, поселок Пронь, Заводская ул., зд. 10 стр. 23, помещ. 9</t>
  </si>
  <si>
    <t>Производство дистиллированных питьевых алкогольных напитков: водки, виски, бренди, джина, ликеров и т. п. (11.01.1)</t>
  </si>
  <si>
    <t>ОБЩЕСТВО С ОГРАНИЧЕННОЙ ОТВЕТСТВЕННОСТЬЮ "СОЮЗ СВЯТОГО ИОАННА ВОИНА"</t>
  </si>
  <si>
    <t>ОБЩЕСТВО С ОГРАНИЧЕННОЙ ОТВЕТСТВЕННОСТЬЮ "ТУЛЬСКИЙ ВИНОКУРЕННЫЙ ЗАВОД 1911"</t>
  </si>
  <si>
    <t>KLEN@vfmgei.ru_x000D_
tmacyuk@inbox.ru</t>
  </si>
  <si>
    <t>+7 (4842) 57-74-72_x000D_
+7 (495) 237-56-60_x000D_
+7 (8352) 34-90-38_x000D_
+7 (8617) 64-41-13_x000D_
+7 (4842) 59-75-73_x000D_
+7 (495) 237-55-40_x000D_
+7 (8352) 34-90-32_x000D_
+7 (8152) 24-62-01_x000D_
+7 (8352) 34-90-35_x000D_
+7 (8152) 24-62-04_x000D_
+7 (833) 262-13-00</t>
  </si>
  <si>
    <t>http://mgei.ru/_x000D_
http://mgeitver.ru/_x000D_
http://nvr-mgei.ru/_x000D_
http://skf-mgei.ru/</t>
  </si>
  <si>
    <t>https://kad.arbitr.ru/Card/b56292f7-e486-4c88-88af-826cf082c641</t>
  </si>
  <si>
    <t>А40-33722/2024</t>
  </si>
  <si>
    <t>АНО ВО МГЭУ</t>
  </si>
  <si>
    <t>7737040022</t>
  </si>
  <si>
    <t>Демидова Любовь Анисимовна</t>
  </si>
  <si>
    <t>500601092377</t>
  </si>
  <si>
    <t>119049, город Москва, Ленинский пр-кт, д.8 стр. 16</t>
  </si>
  <si>
    <t>Образование высшее (85.22)</t>
  </si>
  <si>
    <t>АВТОНОМНАЯ НЕКОММЕРЧЕСКАЯ ОРГАНИЗАЦИЯ ВЫСШЕГО ОБРАЗОВАНИЯ МОСКОВСКИЙ ГУМАНИТАРНО-ЭКОНОМИЧЕСКИЙ УНИВЕРСИТЕТ</t>
  </si>
  <si>
    <t>https://kad.arbitr.ru/Card/557c72d2-6273-4cac-8bd9-afeb68a00391</t>
  </si>
  <si>
    <t>А40-34777/2024</t>
  </si>
  <si>
    <t>ООО "Транспортные Технологии"</t>
  </si>
  <si>
    <t>7726326069</t>
  </si>
  <si>
    <t>ОБЩЕСТВО С ОГРАНИЧЕННОЙ ОТВЕТСТВЕННОСТЬЮ "ТРАНСПОРТНЫЕ ТЕХНОЛОГИИ"</t>
  </si>
  <si>
    <t>https://kad.arbitr.ru/Card/e1dcb263-6cd8-4e69-ba94-1bac3fcde2dd</t>
  </si>
  <si>
    <t>А40-34716/2024</t>
  </si>
  <si>
    <t>ООО "Сервис"</t>
  </si>
  <si>
    <t>7703773208</t>
  </si>
  <si>
    <t>ООО "Йота"</t>
  </si>
  <si>
    <t>7705743537</t>
  </si>
  <si>
    <t>Черноморченко Елена Ивановна</t>
  </si>
  <si>
    <t>772973522707</t>
  </si>
  <si>
    <t>119285, город Москва, Минская ул., д. 1г к. 1, помещ. XX</t>
  </si>
  <si>
    <t>Покупка и продажа собственного недвижимого имущества (68.1)</t>
  </si>
  <si>
    <t>ОБЩЕСТВО С ОГРАНИЧЕННОЙ ОТВЕТСТВЕННОСТЬЮ "СЕРВИС"</t>
  </si>
  <si>
    <t>ОБЩЕСТВО С ОГРАНИЧЕННОЙ ОТВЕТСТВЕННОСТЬЮ "ЙОТА"</t>
  </si>
  <si>
    <t>Заявление Заявление о выдаче судебного приказа</t>
  </si>
  <si>
    <t>taser.m@mail.ru_x000D_
kott036@rambler.ru</t>
  </si>
  <si>
    <t>https://kad.arbitr.ru/Card/b690bef0-0ead-4dab-a690-fc09a96f2c19</t>
  </si>
  <si>
    <t>А40-34603/2024</t>
  </si>
  <si>
    <t>ООО УК "РЭЦ"</t>
  </si>
  <si>
    <t>9710031296</t>
  </si>
  <si>
    <t>ООО "Тасера"</t>
  </si>
  <si>
    <t>9731106440</t>
  </si>
  <si>
    <t>Государев Константин Сергеевич</t>
  </si>
  <si>
    <t>772904759494</t>
  </si>
  <si>
    <t>111677, город Москва, Рождественская ул, д. 4, помещ. 7/1</t>
  </si>
  <si>
    <t>ОБЩЕСТВО С ОГРАНИЧЕННОЙ ОТВЕТСТВЕННОСТЬЮ УПРАВЛЯЮЩАЯ КОМПАНИЯ "РЭЦ"</t>
  </si>
  <si>
    <t>ОБЩЕСТВО С ОГРАНИЧЕННОЙ ОТВЕТСТВЕННОСТЬЮ "ТАСЕРА"</t>
  </si>
  <si>
    <t>https://kad.arbitr.ru/Card/f1bfe3fa-27de-42f6-9583-6dadf45bacfd</t>
  </si>
  <si>
    <t>А40-34562/2024</t>
  </si>
  <si>
    <t>ООО "Пик-Комфорт"</t>
  </si>
  <si>
    <t>7701208190</t>
  </si>
  <si>
    <t>ООО "Московская Международная Школа"</t>
  </si>
  <si>
    <t>7734447758</t>
  </si>
  <si>
    <t>Сяфуков Марат Рафикович</t>
  </si>
  <si>
    <t>524909899251</t>
  </si>
  <si>
    <t>121087, город Москва, Большая Филёвская ул, д. 3 стр. 5</t>
  </si>
  <si>
    <t>Предоставление услуг по дневному уходу за детьми (88.91)</t>
  </si>
  <si>
    <t>ОБЩЕСТВО С ОГРАНИЧЕННОЙ ОТВЕТСТВЕННОСТЬЮ "ПИК-КОМФОРТ"</t>
  </si>
  <si>
    <t>ОБЩЕСТВО С ОГРАНИЧЕННОЙ ОТВЕТСТВЕННОСТЬЮ "МОСКОВСКАЯ МЕЖДУНАРОДНАЯ ШКОЛА"</t>
  </si>
  <si>
    <t>https://kad.arbitr.ru/Card/39cba366-a73f-4c67-a4c7-95cbb1f6b842</t>
  </si>
  <si>
    <t>А40-34464/2024</t>
  </si>
  <si>
    <t>ООО "УК "Меркурий-Покровское"</t>
  </si>
  <si>
    <t>9723113147</t>
  </si>
  <si>
    <t>Кривоносов Никита Борисович</t>
  </si>
  <si>
    <t>781300677677</t>
  </si>
  <si>
    <t>125424, город Москва, Волоколамское ш, д. 71 к. 8, помещ. 6</t>
  </si>
  <si>
    <t>Управление недвижимым имуществом за вознаграждение или на договорной основе (68.32)</t>
  </si>
  <si>
    <t>ОБЩЕСТВО С ОГРАНИЧЕННОЙ ОТВЕТСТВЕННОСТЬЮ "УПРАВЛЯЮЩАЯ КОМПАНИЯ "МЕРКУРИЙ-ПОКРОВСКОЕ"</t>
  </si>
  <si>
    <t>+7 (495) 651-95-99</t>
  </si>
  <si>
    <t>https://kad.arbitr.ru/Card/214c2795-f84c-4aff-a13e-6b41fd6b1e14</t>
  </si>
  <si>
    <t>А40-34436/2024</t>
  </si>
  <si>
    <t>АО "ФМП Групп"</t>
  </si>
  <si>
    <t>7717744461</t>
  </si>
  <si>
    <t>ООО "Форс Медиа"</t>
  </si>
  <si>
    <t>7722551627</t>
  </si>
  <si>
    <t>Алпацкая Алена Дмитриевна</t>
  </si>
  <si>
    <t>344505935977</t>
  </si>
  <si>
    <t>107078, город Москва, Новорязанская ул., д. 18 стр. 17</t>
  </si>
  <si>
    <t>Производство кинофильмов, видеофильмов и телевизионных программ (59.11)</t>
  </si>
  <si>
    <t>АКЦИОНЕРНОЕ ОБЩЕСТВО "ФМП ГРУПП"</t>
  </si>
  <si>
    <t>ОБЩЕСТВО С ОГРАНИЧЕННОЙ ОТВЕТСТВЕННОСТЬЮ "ФОРС МЕДИА"</t>
  </si>
  <si>
    <t>https://kad.arbitr.ru/Card/1808edcd-160c-454b-85fe-4872fc45a59d</t>
  </si>
  <si>
    <t>А40-34311/2024</t>
  </si>
  <si>
    <t>ООО "Премьерспорт"</t>
  </si>
  <si>
    <t>7704467612</t>
  </si>
  <si>
    <t>Абрамова Елена Викторовна</t>
  </si>
  <si>
    <t>773202675936</t>
  </si>
  <si>
    <t>125167, город Москва, Ленинградский пр-кт, д. 36 к. 33, эт/пом/ком 4/I/48</t>
  </si>
  <si>
    <t>Деятельность фитнес-центров (93.13)</t>
  </si>
  <si>
    <t>ОБЩЕСТВО С ОГРАНИЧЕННОЙ ОТВЕТСТВЕННОСТЬЮ "ПРЕМЬЕРСПОРТ"</t>
  </si>
  <si>
    <t>+7 (3412) 43-24-44_x000D_
+7 (3412) 94-39-38</t>
  </si>
  <si>
    <t>http://ohranacentr.ru/</t>
  </si>
  <si>
    <t>https://kad.arbitr.ru/Card/cea3d6b7-29ea-4e18-a905-9cabf0b4a8e9</t>
  </si>
  <si>
    <t>А40-33963/2024</t>
  </si>
  <si>
    <t>ООО "РМ-Плюс"</t>
  </si>
  <si>
    <t>7715599770</t>
  </si>
  <si>
    <t>ООО "Центр"</t>
  </si>
  <si>
    <t>1832006126</t>
  </si>
  <si>
    <t>Ощепков Константин Сергеевич</t>
  </si>
  <si>
    <t>183512023747</t>
  </si>
  <si>
    <t>426053, Удмуртская Республика, город Ижевск, ул. Ворошилова, д.53</t>
  </si>
  <si>
    <t>Торговля оптовая бытовыми электротоварами (46.43)</t>
  </si>
  <si>
    <t>ОБЩЕСТВО С ОГРАНИЧЕННОЙ ОТВЕТСТВЕННОСТЬЮ "РМ-ПЛЮС"</t>
  </si>
  <si>
    <t>ОБЩЕСТВО С ОГРАНИЧЕННОЙ ОТВЕТСТВЕННОСТЬЮ "ЦЕНТР"</t>
  </si>
  <si>
    <t>dsk1.rostokino@dsk1.ru_x000D_
dsk1@dsk1.ru_x000D_
rostokino@dsk1.ru</t>
  </si>
  <si>
    <t>https://kad.arbitr.ru/Card/b77f47bf-5aa9-40af-bfb9-15510b6c86ba</t>
  </si>
  <si>
    <t>А40-33988/2024</t>
  </si>
  <si>
    <t>АО "Первый Автокомбинат" имени Г.Л. Краузе</t>
  </si>
  <si>
    <t>7734032873</t>
  </si>
  <si>
    <t>ООО "Дск1-Ростокино"</t>
  </si>
  <si>
    <t>7716917390</t>
  </si>
  <si>
    <t/>
  </si>
  <si>
    <t>129343, город Москва, ул. Амундсена, д. 2 стр. 18, эт 1 пом I ком 2</t>
  </si>
  <si>
    <t>Производство готовых строительных изделий из бетона, цемента и искусственного камня (23.61.1)</t>
  </si>
  <si>
    <t>ОРДЕНА ТРУДОВОГО КРАСНОГО ЗНАМЕНИ АКЦИОНЕРНОЕ ОБЩЕСТВО "ПЕРВЫЙ АВТОКОМБИНАТ" ИМЕНИ Г.Л. КРАУЗЕ</t>
  </si>
  <si>
    <t>ОБЩЕСТВО С ОГРАНИЧЕННОЙ ОТВЕТСТВЕННОСТЬЮ "ДСК1-РОСТОКИНО"</t>
  </si>
  <si>
    <t>soyuzsnabgroup@mail.ru</t>
  </si>
  <si>
    <t>+7 (8452) 25-99-20_x000D_
+7 (8452) 49-73-95_x000D_
+7 (8453) 53-64-28</t>
  </si>
  <si>
    <t>https://kad.arbitr.ru/Card/d49cad1e-305a-486e-b3d2-21d32f7d3b09</t>
  </si>
  <si>
    <t>А40-33916/2024</t>
  </si>
  <si>
    <t>ООО "ЗНГС-Прометей"</t>
  </si>
  <si>
    <t>7706214286</t>
  </si>
  <si>
    <t>ООО "ССГ"</t>
  </si>
  <si>
    <t>6450083544</t>
  </si>
  <si>
    <t>Жуков Андрей Леонидович</t>
  </si>
  <si>
    <t>645302844668</t>
  </si>
  <si>
    <t>125481, город Москва, Фомичёвой ул, д. 16 к. 3, кв. 197</t>
  </si>
  <si>
    <t>ОБЩЕСТВО С ОГРАНИЧЕННОЙ ОТВЕТСТВЕННОСТЬЮ "ЗАКНЕФТЕГАЗСТРОЙ-ПРОМЕТЕЙ"</t>
  </si>
  <si>
    <t>ОБЩЕСТВО С ОГРАНИЧЕННОЙ ОТВЕТСТВЕННОСТЬЮ "СОЮЗСТРОЙГРУПП"</t>
  </si>
  <si>
    <t>andrey79_777@mail.ru</t>
  </si>
  <si>
    <t>https://kad.arbitr.ru/Card/69bde3c4-c1d0-4d8d-9eaf-557edcad0105</t>
  </si>
  <si>
    <t>А40-33857/2024</t>
  </si>
  <si>
    <t>ООО "Веста"</t>
  </si>
  <si>
    <t>7726454159</t>
  </si>
  <si>
    <t>ООО "Альянс-Строй"</t>
  </si>
  <si>
    <t>5614084072</t>
  </si>
  <si>
    <t>Ляшко Анатолий Иванович</t>
  </si>
  <si>
    <t>561600203503</t>
  </si>
  <si>
    <t>462422, Оренбургская область, город Орск, ул. К.Маркса, д. 76</t>
  </si>
  <si>
    <t>Разработка гравийных и песчаных карьеров, добыча глины и каолина (08.12)</t>
  </si>
  <si>
    <t>ОБЩЕСТВО С ОГРАНИЧЕННОЙ ОТВЕТСТВЕННОСТЬЮ "ВЕСТА"</t>
  </si>
  <si>
    <t>ОБЩЕСТВО С ОГРАНИЧЕННОЙ ОТВЕТСТВЕННОСТЬЮ "АЛЬЯНС-СТРОЙ"</t>
  </si>
  <si>
    <t>dsu68@bk.ru</t>
  </si>
  <si>
    <t>+7 (915) 879-88-34</t>
  </si>
  <si>
    <t>https://kad.arbitr.ru/Card/95c56ee2-36ab-4968-8ffd-27649babb069</t>
  </si>
  <si>
    <t>А40-33816/2024</t>
  </si>
  <si>
    <t>ООО "ТДМ"</t>
  </si>
  <si>
    <t>9717102115</t>
  </si>
  <si>
    <t>ООО "Дсу-68"</t>
  </si>
  <si>
    <t>6829156219</t>
  </si>
  <si>
    <t>Хабоян Армен Гасанович</t>
  </si>
  <si>
    <t>682968058219</t>
  </si>
  <si>
    <t>392526, Тамбовская область, п Строитель, Дорожно-Строительная ул, стр. 46а, офис 1</t>
  </si>
  <si>
    <t>Строительство автомобильных дорог и автомагистралей (42.11)</t>
  </si>
  <si>
    <t>ОБЩЕСТВО С ОГРАНИЧЕННОЙ ОТВЕТСТВЕННОСТЬЮ "ТОРГОВЫЙ ДОМ МАГИСТРАЛЬ"</t>
  </si>
  <si>
    <t>ОБЩЕСТВО С ОГРАНИЧЕННОЙ ОТВЕТСТВЕННОСТЬЮ "ДСУ-68"</t>
  </si>
  <si>
    <t>Определение О принятии заявления к производству с рассмотрением в порядке упрощенного производства</t>
  </si>
  <si>
    <t>1574104@mail.ru</t>
  </si>
  <si>
    <t>+7 (985) 776-86-74</t>
  </si>
  <si>
    <t>https://kad.arbitr.ru/Card/9d51caec-6033-4d4a-bb06-06885a5c48c2</t>
  </si>
  <si>
    <t>А40-33867/2024</t>
  </si>
  <si>
    <t>АО "СТВ"</t>
  </si>
  <si>
    <t>7725810365</t>
  </si>
  <si>
    <t>ООО "Е ТВ"</t>
  </si>
  <si>
    <t>7714353928</t>
  </si>
  <si>
    <t>Кирсанова Виктория Викторовна</t>
  </si>
  <si>
    <t>773102302803</t>
  </si>
  <si>
    <t>125493, город Москва, Смольная ул, д. 12, этаж 1 помещ. 189з</t>
  </si>
  <si>
    <t>Деятельность в области телевизионного вещания (60.20)</t>
  </si>
  <si>
    <t>АКЦИОНЕРНОЕ ОБЩЕСТВО "СПУТНИКОВОЕ ТЕЛЕВИДЕНИЕ"</t>
  </si>
  <si>
    <t>ОБЩЕСТВО С ОГРАНИЧЕННОЙ ОТВЕТСТВЕННОСТЬЮ "ЕТЕРРА ТВ"</t>
  </si>
  <si>
    <t>+7 (499) 126-66-08_x000D_
+7 (495) 942-71-71_x000D_
+7 (495) 236-13-15_x000D_
+7 (499) 550-00-55_x000D_
+7 (495) 223-40-25, доб 607_x000D_
+7 (495) 987-31-66_x000D_
+7 (495) 727-25-82_x000D_
+7 (495) 727-24-24, доб 5834_x000D_
+7 (495) 223-40-20, доб 5662_x000D_
+7 (495) 727-24-75_x000D_
+7 (495) 983-06-78_x000D_
+7 (495) 758-68-69_x000D_
+7 (495) 727-25-37_x000D_
+7 (495) 223-40-20, доб 5607_x000D_
+7 (495) 942-95-95_x000D_
+7 (495) 942-80-80_x000D_
+7 (495) 948-62-80_x000D_
+7 (495) 983-06-71_x000D_
+7 (495) 222-22-22, доб 2_x000D_
+7 (495) 727-25-24_x000D_
+7 (495) 727-25-23_x000D_
+7 (495) 727-26-26_x000D_
+7 (495) 987-42-33, доб 4177_x000D_
+7 (495) 223-40-20_x000D_
+7 (495) 727-24-24_x000D_
+7 (495) 727-26-25_x000D_
+7 (495) 727-25-98_x000D_
+7 (495) 000-00-00_x000D_
+7 (495) 727-80-80_x000D_
+7 (495) 223-40-20, доб 5657_x000D_
+7 (495) 228-12-23_x000D_
+7 (495) 126-26-35</t>
  </si>
  <si>
    <t>https://kad.arbitr.ru/Card/1d623689-4729-45ad-8ecd-a0302e2dec48</t>
  </si>
  <si>
    <t>А40-33905/2024</t>
  </si>
  <si>
    <t>ООО "Элфокс"</t>
  </si>
  <si>
    <t>5012055483</t>
  </si>
  <si>
    <t>ООО "Крокус"</t>
  </si>
  <si>
    <t>7728115183</t>
  </si>
  <si>
    <t>Мросвирина Марина Николаевна</t>
  </si>
  <si>
    <t>772503697297</t>
  </si>
  <si>
    <t>107120, город Москва, ул. Земляной Вал, д.41, кв.2</t>
  </si>
  <si>
    <t>Сведения о видах деятельности отсутствуют.</t>
  </si>
  <si>
    <t>ОБЩЕСТВО С ОГРАНИЧЕННОЙ ОТВЕТСТВЕННОСТЬЮ "ЭЛФОКС"</t>
  </si>
  <si>
    <t>ОБЩЕСТВО С ОГРАНИЧЕННОЙ ОТВЕТСТВЕННОСТЬЮ "КРОКУС 02"</t>
  </si>
  <si>
    <t>Определение О принятии искового заявления (заявления) к производству</t>
  </si>
  <si>
    <t>bfm@btsrvs.ru</t>
  </si>
  <si>
    <t>+7 (495) 230-55-87</t>
  </si>
  <si>
    <t>https://kad.arbitr.ru/Card/a472e31e-f9ad-4985-8a37-94a17820d117</t>
  </si>
  <si>
    <t>А40-34623/2024</t>
  </si>
  <si>
    <t>ПАО "Промсвязьбанк"</t>
  </si>
  <si>
    <t>7744000912</t>
  </si>
  <si>
    <t>ООО "БТС"</t>
  </si>
  <si>
    <t>5040165689</t>
  </si>
  <si>
    <t>Мухтаров Мирзотуйчи Мирзоазизович</t>
  </si>
  <si>
    <t>742007514797</t>
  </si>
  <si>
    <t>142322, Московская область, с Новый Быт, тер. Коммунальная, ком. 1. азс</t>
  </si>
  <si>
    <t>Техническое обслуживание и ремонт автотранспортных средств (45.20)</t>
  </si>
  <si>
    <t>ПУБЛИЧНОЕ АКЦИОНЕРНОЕ ОБЩЕСТВО "ПРОМСВЯЗЬБАНК"</t>
  </si>
  <si>
    <t>ОБЩЕСТВО С ОГРАНИЧЕННОЙ ОТВЕТСТВЕННОСТЬЮ "БОСС ТРАК СЕРВИС"</t>
  </si>
  <si>
    <t>info@pfvis.ru_x000D_
bulavinova3@yandex.ru_x000D_
a.dubrovskih@vis-group.ru_x000D_
timofeeva_sl@pfvis.ru_x000D_
info@pfvis-msk.ru_x000D_
nk@pfvis.ru</t>
  </si>
  <si>
    <t>+7 (495) 789-85-55_x000D_
+7 (495) 789-85-56_x000D_
+7 (3496) 39-81-12, доб 55_x000D_
+7 (495) 789-85-55, доб 55_x000D_
+7 (495) 789-85-55, доб 7_x000D_
+7 (921) 321-63-10_x000D_
+7 (495) 789-85-55, доб 1858_x000D_
+7 (495) 789-85-55, доб 1875_x000D_
+7 (495) 778-85-55_x000D_
+7 (495) 779-85-56_x000D_
+7 (812) 336-69-90_x000D_
+7 (812) 336-69-91_x000D_
+7 (81371) 3-03-17_x000D_
+7 (495) 781-08-55</t>
  </si>
  <si>
    <t>https://kad.arbitr.ru/Card/9a38845c-276c-4df2-af71-4f068723b31e</t>
  </si>
  <si>
    <t>А40-33896/2024</t>
  </si>
  <si>
    <t>ООО "СЗТК"</t>
  </si>
  <si>
    <t>7841372708</t>
  </si>
  <si>
    <t>ООО "ПФ "ВИС"</t>
  </si>
  <si>
    <t>7816158919</t>
  </si>
  <si>
    <t>Юдин Сергей Сергеевич</t>
  </si>
  <si>
    <t>773127081176</t>
  </si>
  <si>
    <t>188300, Ленинградская область, Гатчинский район, город Гатчина, ул. 7 Армии, д. 22а, помещ. 10</t>
  </si>
  <si>
    <t>ОБЩЕСТВО С ОГРАНИЧЕННОЙ ОТВЕТСТВЕННОСТЬЮ "СЕВЕРО-ЗАПАДНАЯ ТРУБНАЯ КОМПАНИЯ"</t>
  </si>
  <si>
    <t>ОБЩЕСТВО С ОГРАНИЧЕННОЙ ОТВЕТСТВЕННОСТЬЮ "ПРОИЗВОДСТВЕННАЯ ФИРМА "ВИС"</t>
  </si>
  <si>
    <t>+7 (922) 639-44-44</t>
  </si>
  <si>
    <t>https://kad.arbitr.ru/Card/e587eb78-9515-4587-b99b-0bea7f445a27</t>
  </si>
  <si>
    <t>А40-33981/2024</t>
  </si>
  <si>
    <t>АО "НЛТ"</t>
  </si>
  <si>
    <t>7708334941</t>
  </si>
  <si>
    <t>ООО "Промстрой"</t>
  </si>
  <si>
    <t>7447240439</t>
  </si>
  <si>
    <t>Оганян Гайк Сергеевич</t>
  </si>
  <si>
    <t>745312418887</t>
  </si>
  <si>
    <t>350010, Краснодарский край, г Краснодар, Зиповская ул, д. 5б, офис 61</t>
  </si>
  <si>
    <t>АКЦИОНЕРНОЕ ОБЩЕСТВО "НАЦИОНАЛЬНЫЕ ЛОГИСТИЧЕСКИЕ ТЕХНОЛОГИИ"</t>
  </si>
  <si>
    <t>ОБЩЕСТВО С ОГРАНИЧЕННОЙ ОТВЕТСТВЕННОСТЬЮ "ПРОМСТРОЙ"</t>
  </si>
  <si>
    <t>avgkh.podolsk@gmail.com_x000D_
nikituk.notarius@yandex.ru_x000D_
buh@avgkh.ru</t>
  </si>
  <si>
    <t>+7 (495) 214-97-55_x000D_
+7 (498) 505-95-47_x000D_
8 (800) 250-43-88_x000D_
+7 (495) 741-93-10</t>
  </si>
  <si>
    <t>https://kad.arbitr.ru/Card/cf94e8b4-8a27-4853-80c2-c3fc1da7bfbb</t>
  </si>
  <si>
    <t>А40-34342/2024</t>
  </si>
  <si>
    <t>ООО "УК Август ЖКХ"</t>
  </si>
  <si>
    <t>5045055143</t>
  </si>
  <si>
    <t>Киляков Игорь Владимирович</t>
  </si>
  <si>
    <t>500109604283</t>
  </si>
  <si>
    <t>142118, Московская область, город Подольск, ул. 43-й Армии, д. 17, помещ. 4</t>
  </si>
  <si>
    <t>ОБЩЕСТВО С ОГРАНИЧЕННОЙ ОТВЕТСТВЕННОСТЬЮ "УПРАВЛЯЮЩАЯ КОМПАНИЯ АВГУСТ ЖКХ"</t>
  </si>
  <si>
    <t>https://kad.arbitr.ru/Card/f7ee1dba-d0ea-400a-a63f-f227653196e9</t>
  </si>
  <si>
    <t>А40-34432/2024</t>
  </si>
  <si>
    <t>ООО "ЧНК"</t>
  </si>
  <si>
    <t>2337044305</t>
  </si>
  <si>
    <t>ОБЩЕСТВО С ОГРАНИЧЕННОЙ ОТВЕТСТВЕННОСТЬЮ "ЧЕРНОМОРСКАЯ НЕФТЯНАЯ КОМПАНИЯ"</t>
  </si>
  <si>
    <t>andnik@fastmail.com_x000D_
ao@fortex-group.ru_x000D_
311416@mail.ru_x000D_
nfo@glavms.ru</t>
  </si>
  <si>
    <t>+7 (495) 708-31-35_x000D_
+7 (495) 137-56-25_x000D_
+7 (985) 163-53-43_x000D_
+7 (495) 921-31-21</t>
  </si>
  <si>
    <t>https://kad.arbitr.ru/Card/282f0533-6141-4bee-b3b8-1b92e89db46c</t>
  </si>
  <si>
    <t>А40-34287/2024</t>
  </si>
  <si>
    <t>ООО "СМ-Групп"</t>
  </si>
  <si>
    <t>7724325253</t>
  </si>
  <si>
    <t>ООО "Главмонтажстрой"</t>
  </si>
  <si>
    <t>7730699401</t>
  </si>
  <si>
    <t>Еремичев Сергей Викторович</t>
  </si>
  <si>
    <t>772800624206</t>
  </si>
  <si>
    <t>121059, город Москва, Брянская ул., д. 2, эт антресоль1 пом III каб 8</t>
  </si>
  <si>
    <t>ОБЩЕСТВО С ОГРАНИЧЕННОЙ ОТВЕТСТВЕННОСТЬЮ "СТРОИТЕЛЬНЫЕ МАШИНЫ"</t>
  </si>
  <si>
    <t>ОБЩЕСТВО С ОГРАНИЧЕННОЙ ОТВЕТСТВЕННОСТЬЮ "ГЛАВМОНТАЖСТРОЙ"</t>
  </si>
  <si>
    <t>info@ksum.ru_x000D_
oks2902@yandex.ru</t>
  </si>
  <si>
    <t>+7 (48336) 4-02-66_x000D_
+7 (48336) 4-24-85_x000D_
+7 (48336) 4-69-37_x000D_
+7 (916) 684-81-94_x000D_
+7 (910) 734-44-86</t>
  </si>
  <si>
    <t>https://kad.arbitr.ru/Card/7e8e1181-57c2-4374-9493-60d73b448183</t>
  </si>
  <si>
    <t>А40-34248/2024</t>
  </si>
  <si>
    <t>ФГУП "Эндофарм"</t>
  </si>
  <si>
    <t>7722059711</t>
  </si>
  <si>
    <t>ООО "Клинцовское Сум"</t>
  </si>
  <si>
    <t>3241006974</t>
  </si>
  <si>
    <t>Лысаков Александр Васильевич</t>
  </si>
  <si>
    <t>320301337305</t>
  </si>
  <si>
    <t>107014, город Москва, 1-Я Боевская ул, д. 2/12 стр. 4, помещ. 1/1</t>
  </si>
  <si>
    <t>Строительство жилых и нежилых зданий (41.2)</t>
  </si>
  <si>
    <t>ФЕДЕРАЛЬНОЕ ГОСУДАРСТВЕННОЕ УНИТАРНОЕ ПРЕДПРИЯТИЕ "МОСКОВСКИЙ ЭНДОКРИННЫЙ ЗАВОД"</t>
  </si>
  <si>
    <t>ОБЩЕСТВО С ОГРАНИЧЕННОЙ ОТВЕТСТВЕННОСТЬЮ "КЛИНЦОВСКОЕ СПЕЦУПРАВЛЕНИЕ МЕХАНИЗАЦИИ"</t>
  </si>
  <si>
    <t>https://kad.arbitr.ru/Card/e0d8c155-df37-417b-be05-fe09f687ee6b</t>
  </si>
  <si>
    <t>А40-34101/2024</t>
  </si>
  <si>
    <t>ООО "Сити-Планнинг"</t>
  </si>
  <si>
    <t>7718757103</t>
  </si>
  <si>
    <t>Глебов Александр Александрович</t>
  </si>
  <si>
    <t>672304106123</t>
  </si>
  <si>
    <t>125040, город Москва, Ленинградский пр-кт, д. 7 стр. 1, помещ. 1/2</t>
  </si>
  <si>
    <t>Кривцов Евгений Евгеньевич</t>
  </si>
  <si>
    <t>ОБЩЕСТВО С ОГРАНИЧЕННОЙ ОТВЕТСТВЕННОСТЬЮ "АРХИТЕКТУРНО-ИНЖИНИРИНГОВАЯ КОМПАНИЯ "СИТИ-ПЛАННИНГ"</t>
  </si>
  <si>
    <t>https://kad.arbitr.ru/Card/02af8c1a-0cad-4f8a-b65f-831e5ff00830</t>
  </si>
  <si>
    <t>А40-34148/2024</t>
  </si>
  <si>
    <t>ООО "Евразия"</t>
  </si>
  <si>
    <t>6685088780</t>
  </si>
  <si>
    <t>ОБЩЕСТВО С ОГРАНИЧЕННОЙ ОТВЕТСТВЕННОСТЬЮ "ЕВРАЗИЯ"</t>
  </si>
  <si>
    <t>https://kad.arbitr.ru/Card/600b0274-4a8e-4d4d-a2c6-b6b1ac60dc6a</t>
  </si>
  <si>
    <t>А40-34811/2024</t>
  </si>
  <si>
    <t>ООО "Опцион-ТМ"</t>
  </si>
  <si>
    <t>7727524240</t>
  </si>
  <si>
    <t>ИП Кулалаева Зухра Исагаджиевна</t>
  </si>
  <si>
    <t>611901148857</t>
  </si>
  <si>
    <t>Кулалаева Зухра Исагаджиевна</t>
  </si>
  <si>
    <t xml:space="preserve">   Ростовская область, город Ростов-на-Дону  </t>
  </si>
  <si>
    <t>Консультирование по вопросам коммерческой деятельности и управления (70.22)</t>
  </si>
  <si>
    <t>ОБЩЕСТВО С ОГРАНИЧЕННОЙ ОТВЕТСТВЕННОСТЬЮ "ОПЦИОН-ТМ"</t>
  </si>
  <si>
    <t>irinaselezneva.v@gmail.com_x000D_
dgz1@mail.ru_x000D_
erc_33@mil.ru_x000D_
guk_corruption@mil.ru_x000D_
info@morf.ru_x000D_
minob@mail.ru_x000D_
press@mil.ru_x000D_
uvpminob@mail.ru</t>
  </si>
  <si>
    <t>+7 (495) 696-60-26_x000D_
+7 (495) 696-89-00_x000D_
+7 (495) 696-60-42_x000D_
+7 (495) 293-89-79_x000D_
+7 (495) 496-17-33_x000D_
+7 (495) 526-69-11_x000D_
+7 (495) 693-01-77_x000D_
+7 (495) 693-30-17_x000D_
+7 (495) 696-06-88_x000D_
+7 (495) 696-11-87_x000D_
+7 (495) 696-17-33_x000D_
+7 (495) 696-64-84_x000D_
+7 (495) 696-88-00_x000D_
+7 (495) 696-91-84_x000D_
+7 (963) 447-93-21_x000D_
+7 (495) 693-85-41_x000D_
+7 (495) 696-19-40_x000D_
+7 (495) 696-66-26_x000D_
+7 (3412) 41-41-37_x000D_
+7 (495) 696-11-05_x000D_
+7 (3452) 43-44-30_x000D_
+7 (3452) 69-11-05_x000D_
+7 (35168) 9-36-84_x000D_
+7 (3522) 29-52-94_x000D_
+7 (4212) 21-27-91_x000D_
+7 (4212) 27-07-41_x000D_
+7 (4212) 39-52-58_x000D_
+7 (4212) 39-55-83_x000D_
+7 (4212) 39-71-37_x000D_
+7 (4212) 39-73-28_x000D_
+7 (4212) 39-78-67_x000D_
+7 (49672) 6-35-12_x000D_
+7 (909) 958-61-20_x000D_
+7 (983) 536-65-91_x000D_
+7 (495) 577-84-87_x000D_
+7 (812) 494-02-62_x000D_
+7 (495) 498-01-82_x000D_
+7 (499) 263-86-35_x000D_
8 (800) 200-22-94_x000D_
+7 (499) 244-52-31_x000D_
+7 (48439) 9-65-98_x000D_
+7 (495) 498-32-34_x000D_
+7 (495) 111-11-11</t>
  </si>
  <si>
    <t>http://mil.ru/</t>
  </si>
  <si>
    <t>https://kad.arbitr.ru/Card/13ffca83-19d3-4761-9d8e-d33d4e783a70</t>
  </si>
  <si>
    <t>А40-34717/2024</t>
  </si>
  <si>
    <t>АО "НПК "Ниидар"</t>
  </si>
  <si>
    <t>7718016698</t>
  </si>
  <si>
    <t>Минобороны России</t>
  </si>
  <si>
    <t>7704252261</t>
  </si>
  <si>
    <t>Шойгу Сергей Кужугетович</t>
  </si>
  <si>
    <t>503201733649</t>
  </si>
  <si>
    <t>119160, город Москва, ул. Знаменка, д. 19</t>
  </si>
  <si>
    <t>Деятельность, связанная с обеспечением военной безопасности (84.22)</t>
  </si>
  <si>
    <t>АКЦИОНЕРНОЕ ОБЩЕСТВО "НАУЧНО-ПРОИЗВОДСТВЕННЫЙ КОМПЛЕКС "НАУЧНО-ИССЛЕДОВАТЕЛЬСКИЙ ИНСТИТУТ ДАЛЬНЕЙ РАДИОСВЯЗИ"</t>
  </si>
  <si>
    <t>МИНИСТЕРСТВО ОБОРОНЫ РОССИЙСКОЙ ФЕДЕРАЦИИ</t>
  </si>
  <si>
    <t>buh@allstarmedia.ru</t>
  </si>
  <si>
    <t>+7 (903) 748-89-01_x000D_
+7 (926) 109-71-67</t>
  </si>
  <si>
    <t>https://kad.arbitr.ru/Card/28178559-c63d-4cad-9879-b93e4d66441d</t>
  </si>
  <si>
    <t>А40-34954/2024</t>
  </si>
  <si>
    <t>ООО "Топхит"</t>
  </si>
  <si>
    <t>7743270377</t>
  </si>
  <si>
    <t>ООО "Ол Стар Мьюзик"</t>
  </si>
  <si>
    <t>9701124900</t>
  </si>
  <si>
    <t>Павлов Дмитрий Олегович</t>
  </si>
  <si>
    <t>770170882018</t>
  </si>
  <si>
    <t>105082, город Москва, Спартаковская пл, д. 14 стр. 2, ком. 8-9</t>
  </si>
  <si>
    <t>Деятельность в области звукозаписи и издания музыкальных произведений (59.20)</t>
  </si>
  <si>
    <t>ОБЩЕСТВО С ОГРАНИЧЕННОЙ ОТВЕТСТВЕННОСТЬЮ "ТОПХИТ"</t>
  </si>
  <si>
    <t>ОБЩЕСТВО С ОГРАНИЧЕННОЙ ОТВЕТСТВЕННОСТЬЮ "ОЛ СТАР МЬЮЗИК"</t>
  </si>
  <si>
    <t>notarius_rudenko@mail.ru</t>
  </si>
  <si>
    <t>+7 (965) 133-61-83</t>
  </si>
  <si>
    <t>https://kad.arbitr.ru/Card/cd9d3689-4ebb-40e9-a5fe-6e25ed5f067c</t>
  </si>
  <si>
    <t>А40-34678/2024</t>
  </si>
  <si>
    <t>ООО "Инвест Менеджмент"</t>
  </si>
  <si>
    <t>9701009897</t>
  </si>
  <si>
    <t>ООО "Айтишеринг"</t>
  </si>
  <si>
    <t>7723382354</t>
  </si>
  <si>
    <t>Чуприна Павел Николаевич</t>
  </si>
  <si>
    <t>772854890300</t>
  </si>
  <si>
    <t>117186, город Москва, Нагорная ул, д. 24 к. 9, этаж 1 помещ. II, ком. 1ж</t>
  </si>
  <si>
    <t>Деятельность консультативная и работы в области компьютерных технологий (62.02)</t>
  </si>
  <si>
    <t>ОБЩЕСТВО С ОГРАНИЧЕННОЙ ОТВЕТСТВЕННОСТЬЮ "ИНВЕСТ МЕНЕДЖМЕНТ"</t>
  </si>
  <si>
    <t>ОБЩЕСТВО С ОГРАНИЧЕННОЙ ОТВЕТСТВЕННОСТЬЮ "АЙТИШЕРИНГ"</t>
  </si>
  <si>
    <t>+7 (499) 330-97-55</t>
  </si>
  <si>
    <t>http://cpkmagistr.ru/</t>
  </si>
  <si>
    <t>https://kad.arbitr.ru/Card/ebdabeb3-6419-4a56-9981-6707e6b65a21</t>
  </si>
  <si>
    <t>А40-34115/2024</t>
  </si>
  <si>
    <t>ИП Поливеев Алексей Анатольевич</t>
  </si>
  <si>
    <t>772481030161</t>
  </si>
  <si>
    <t>ООО "ЦПК Магистр"</t>
  </si>
  <si>
    <t>7729404607</t>
  </si>
  <si>
    <t>Козлов Владимир Григорьевич</t>
  </si>
  <si>
    <t>772443501660</t>
  </si>
  <si>
    <t>119192, город Москва, Винницкая ул., д.11, кв.197</t>
  </si>
  <si>
    <t>Обработка металлов и нанесение покрытий на металлы (25.61)</t>
  </si>
  <si>
    <t>ОБЩЕСТВО С ОГРАНИЧЕННОЙ ОТВЕТСТВЕННОСТЬЮ "ЦПК МАГИСТР"</t>
  </si>
  <si>
    <t>https://kad.arbitr.ru/Card/80f285cb-a87c-4a57-836f-0b4f7c5ef79a</t>
  </si>
  <si>
    <t>А40-34495/2024</t>
  </si>
  <si>
    <t>ООО "Алькор"</t>
  </si>
  <si>
    <t>9701223749</t>
  </si>
  <si>
    <t>105066, Россия, г Москва, г вн тер Муниципальный Округ Басманный, г. Москва, ул. Спартаковская, д. 19 строение 3а, кв. Помещ 1/1</t>
  </si>
  <si>
    <t>ОБЩЕСТВО С ОГРАНИЧЕННОЙ ОТВЕТСТВЕННОСТЬЮ "АЛЬКОР"</t>
  </si>
  <si>
    <t>Юфура Холдинг Лимитед (YOFOURA HOLDING LIMITED)</t>
  </si>
  <si>
    <t>+7 (495) 691-83-07</t>
  </si>
  <si>
    <t>http://mp3dv.ru/_x000D_
http://4904900.ru/_x000D_
http://ermistage.ru/_x000D_
http://ermitagehotel.ru/_x000D_
http://mosgorsad.ru/</t>
  </si>
  <si>
    <t>https://kad.arbitr.ru/Card/e275e20c-ecee-4701-ae63-ef68c2829f61</t>
  </si>
  <si>
    <t>А40-34320/2024</t>
  </si>
  <si>
    <t>ООО "Эрмитаж"</t>
  </si>
  <si>
    <t>7704665999</t>
  </si>
  <si>
    <t>Далгатов Башир Шейхмагомедович</t>
  </si>
  <si>
    <t>056204058499</t>
  </si>
  <si>
    <t>119270, город Москва, ул Хамовнический Вал, д. 4</t>
  </si>
  <si>
    <t>ОБЩЕСТВО С ОГРАНИЧЕННОЙ ОТВЕТСТВЕННОСТЬЮ "ЭРМИТАЖ"</t>
  </si>
  <si>
    <t>vektor999@yandex.ru_x000D_
notariusalmazova@mail.ru_x000D_
4991688975@mail.ru_x000D_
asdf@td.ru_x000D_
guppreo@mail.ru_x000D_
sok-jul@mail.ru</t>
  </si>
  <si>
    <t>+7 (964) 711-10-57_x000D_
+7 (499) 168-93-62_x000D_
+7 (499) 161-53-97_x000D_
+7 (499) 168-62-93_x000D_
+7 (964) 771-10-57</t>
  </si>
  <si>
    <t>https://kad.arbitr.ru/Card/7d47470d-f030-4c4a-a163-20d3a9016d55</t>
  </si>
  <si>
    <t>А40-34308/2024</t>
  </si>
  <si>
    <t>АО "Мосводоканал"</t>
  </si>
  <si>
    <t>7701984274</t>
  </si>
  <si>
    <t>ООО "УК "Преображенское"</t>
  </si>
  <si>
    <t>7718866769</t>
  </si>
  <si>
    <t>Посохов Роман Владимирович</t>
  </si>
  <si>
    <t>503110456701</t>
  </si>
  <si>
    <t>123007, город Москва, 5-Я Магистральная ул, д. 10а, помещ. I ком. 8</t>
  </si>
  <si>
    <t>АКЦИОНЕРНОЕ ОБЩЕСТВО "МОСВОДОКАНАЛ"</t>
  </si>
  <si>
    <t>ОБЩЕСТВО С ОГРАНИЧЕННОЙ ОТВЕТСТВЕННОСТЬЮ "УПРАВЛЯЮЩАЯ КОМПАНИЯ "ПРЕОБРАЖЕНСКОЕ"</t>
  </si>
  <si>
    <t>kravchenko@kuzina.ru</t>
  </si>
  <si>
    <t>+7 (383) 222-09-04_x000D_
+7 (923) 104-91-19</t>
  </si>
  <si>
    <t>https://kad.arbitr.ru/Card/16f37fac-1548-4fe2-b7de-b7481be8071b</t>
  </si>
  <si>
    <t>А40-34334/2024</t>
  </si>
  <si>
    <t>ООО "Кузина"</t>
  </si>
  <si>
    <t>5404373487</t>
  </si>
  <si>
    <t>630049, Новосибирская область, город Новосибирск, Красный пр-кт, д. 157, этаж 1 помещение 32</t>
  </si>
  <si>
    <t>ОБЩЕСТВО С ОГРАНИЧЕННОЙ ОТВЕТСТВЕННОСТЬЮ "КУЗИНА"</t>
  </si>
  <si>
    <t>+7 (495) 481-11-46</t>
  </si>
  <si>
    <t>https://kad.arbitr.ru/Card/76016ecb-a8c2-42ed-b8e3-a0ffbcee7f87</t>
  </si>
  <si>
    <t>А40-34231/2024</t>
  </si>
  <si>
    <t>ЖСК "Дегунино-6"</t>
  </si>
  <si>
    <t>7713035802</t>
  </si>
  <si>
    <t>Осипов Геннадий Михайлович</t>
  </si>
  <si>
    <t>771311990733</t>
  </si>
  <si>
    <t>127540, город Москва, Керамический пр-д, д.49</t>
  </si>
  <si>
    <t>ЖИЛИЩНО - СТРОИТЕЛЬНЫЙ КООПЕРАТИВ "ДЕГУНИНО-6"</t>
  </si>
  <si>
    <t>hr-crccrus@mail.ru_x000D_
13671011233@163.com_x000D_
18145124396@163.com_x000D_
chirkina.marina@crccrus.ru_x000D_
chirkinamarina@gmail.com</t>
  </si>
  <si>
    <t>+7 (985) 111-52-77_x000D_
+7 (985) 111-73-55</t>
  </si>
  <si>
    <t>https://kad.arbitr.ru/Card/dae42885-2a64-4f88-9c11-66905cba310a</t>
  </si>
  <si>
    <t>А40-34736/2024</t>
  </si>
  <si>
    <t>ООО "Нефтьсервис"</t>
  </si>
  <si>
    <t>5250060530</t>
  </si>
  <si>
    <t>ООО "Сиарсиси Рус"</t>
  </si>
  <si>
    <t>7730212723</t>
  </si>
  <si>
    <t>Чжао Цзяшу</t>
  </si>
  <si>
    <t>772876064152</t>
  </si>
  <si>
    <t>117485, город Москва, ул Обручева, д. 30/1 стр. 1, этаж 5 помещ.VIII ком. 1-31</t>
  </si>
  <si>
    <t>Деятельность заказчика-застройщика, генерального подрядчика (71.12.2)</t>
  </si>
  <si>
    <t>ОБЩЕСТВО С ОГРАНИЧЕННОЙ ОТВЕТСТВЕННОСТЬЮ "НЕФТЬСЕРВИС"</t>
  </si>
  <si>
    <t>ОБЩЕСТВО С ОГРАНИЧЕННОЙ ОТВЕТСТВЕННОСТЬЮ "СИАРСИСИ РУС"</t>
  </si>
  <si>
    <t>https://kad.arbitr.ru/Card/73c8f25d-31ca-43b8-bdb1-f821742f8a64</t>
  </si>
  <si>
    <t>А40-36144/2024</t>
  </si>
  <si>
    <t>ООО "Орион"</t>
  </si>
  <si>
    <t>9723183169</t>
  </si>
  <si>
    <t>ООО "Гемолайф"</t>
  </si>
  <si>
    <t>7730316384</t>
  </si>
  <si>
    <t>Смирнова Марианна Сергеевна</t>
  </si>
  <si>
    <t>121096, город Москва, Василисы Кожиной ул, д. 1, помещ. 15/7</t>
  </si>
  <si>
    <t>Торговля оптовая техникой, оборудованием и инструментами, применяемыми в медицинских целях (46.69.8)</t>
  </si>
  <si>
    <t>ОБЩЕСТВО С ОГРАНИЧЕННОЙ ОТВЕТСТВЕННОСТЬЮ "ОРИОН"</t>
  </si>
  <si>
    <t>ОБЩЕСТВО С ОГРАНИЧЕННОЙ ОТВЕТСТВЕННОСТЬЮ "ГЕМОЛАЙФ"</t>
  </si>
  <si>
    <t>nvs.sk@mail.ru</t>
  </si>
  <si>
    <t>https://kad.arbitr.ru/Card/38b3ef0e-55fa-4053-b1cd-4353ce74ed9b</t>
  </si>
  <si>
    <t>А40-36122/2024</t>
  </si>
  <si>
    <t>ООО "ТДМ-Комплект"</t>
  </si>
  <si>
    <t>7727770943</t>
  </si>
  <si>
    <t>ООО "Новая Высота"</t>
  </si>
  <si>
    <t>7730294564</t>
  </si>
  <si>
    <t>Каландия Леван Зурабович</t>
  </si>
  <si>
    <t>773202531740</t>
  </si>
  <si>
    <t>121151, город Москва, ул Можайский Вал, д. 8, этаж/помещ. 8/5 офис 856</t>
  </si>
  <si>
    <t>ОБЩЕСТВО С ОГРАНИЧЕННОЙ ОТВЕТСТВЕННОСТЬЮ "ТДМ-КОМПЛЕКТ"</t>
  </si>
  <si>
    <t>ОБЩЕСТВО С ОГРАНИЧЕННОЙ ОТВЕТСТВЕННОСТЬЮ "НОВАЯ ВЫСОТА"</t>
  </si>
  <si>
    <t>pansionagagarina@mail.ru_x000D_
pansionatgagarina@mail.ru_x000D_
surnina63@mail.ru</t>
  </si>
  <si>
    <t>+7 (365) 696-12-05_x000D_
+7 (365) 696-13-04_x000D_
+7 (978) 731-94-70_x000D_
+7 (978) 855-54-76_x000D_
+7 (978) 755-02-42_x000D_
+7 (365) 696-01-69_x000D_
+7 (365) 699-30-35_x000D_
+7 (978) 793-48-74_x000D_
+7 (919) 875-81-01_x000D_
+7 (978) 687-77-51_x000D_
8 (800) 550-54-76</t>
  </si>
  <si>
    <t>https://kad.arbitr.ru/Card/41eeded3-71d8-49ad-8565-26cfe5a0abf8</t>
  </si>
  <si>
    <t>А40-36093/2024</t>
  </si>
  <si>
    <t>ГКУ "Дирекция ОДОТСЗН Г. Москвы"</t>
  </si>
  <si>
    <t>7701827320</t>
  </si>
  <si>
    <t>МУП "Евпатория-Крым-Курорт"</t>
  </si>
  <si>
    <t>9110014884</t>
  </si>
  <si>
    <t>Павицкая Светлана Викторовна</t>
  </si>
  <si>
    <t>911004068073</t>
  </si>
  <si>
    <t>297407, Республика Крым, город Евпатория, ул. Полупанова, д. 10</t>
  </si>
  <si>
    <t>Деятельность по предоставлению мест для краткосрочного проживания (55.20)</t>
  </si>
  <si>
    <t>ГОСУДАРСТВЕННОЕ КАЗЕННОЕ УЧРЕЖДЕНИЕ ГОРОДА МОСКВЫ "ДИРЕКЦИЯ ПО ОБЕСПЕЧЕНИЮ ДЕЯТЕЛЬНОСТИ ОРГАНИЗАЦИЙ ТРУДА И СОЦИАЛЬНОЙ ЗАЩИТЫ НАСЕЛЕНИЯ ГОРОДА МОСКВЫ"</t>
  </si>
  <si>
    <t>МУНИЦИПАЛЬНОЕ УНИТАРНОЕ ПРЕДПРИЯТИЕ "ЕВПАТОРИЯ-КРЫМ-КУРОРТ" ГОРОДСКОГО ОКРУГА ЕВПАТОРИЯ РЕСПУБЛИКИ КРЫМ</t>
  </si>
  <si>
    <t>+7 (905) 506-16-92</t>
  </si>
  <si>
    <t>https://kad.arbitr.ru/Card/4bee33dd-8885-40d7-9113-ca7fdb0fa229</t>
  </si>
  <si>
    <t>А40-36082/2024</t>
  </si>
  <si>
    <t>ООО "Верус"</t>
  </si>
  <si>
    <t>1323000514</t>
  </si>
  <si>
    <t>ООО "СВ Логистика"</t>
  </si>
  <si>
    <t>1323000426</t>
  </si>
  <si>
    <t>Демьяненко Алексей Владимирович</t>
  </si>
  <si>
    <t>552801496439</t>
  </si>
  <si>
    <t>117461, город Москва, ул. Каховка, д. 20 стр. 2, эт 2 каб 8а</t>
  </si>
  <si>
    <t>Деятельность автомобильного грузового транспорта (49.41)</t>
  </si>
  <si>
    <t>ОБЩЕСТВО С ОГРАНИЧЕННОЙ ОТВЕТСТВЕННОСТЬЮ "ВЕРУС"</t>
  </si>
  <si>
    <t>ОБЩЕСТВО С ОГРАНИЧЕННОЙ ОТВЕТСТВЕННОСТЬЮ "СВ ЛОГИСТИКА"</t>
  </si>
  <si>
    <t>info@faber-electro.ru_x000D_
reseption@faber-electro.ru</t>
  </si>
  <si>
    <t>+7 (84862) 4-70-44, доб 9_x000D_
+7 (84862) 4-99-90, доб 9_x000D_
+7 (4862) 47-04-49_x000D_
+7 (4862) 49-99-09</t>
  </si>
  <si>
    <t>http://faber-electro.ru/</t>
  </si>
  <si>
    <t>https://kad.arbitr.ru/Card/7162eea7-2c37-4475-ace4-d516924d8bd7</t>
  </si>
  <si>
    <t>А40-36037/2024</t>
  </si>
  <si>
    <t>ООО "А Групп"</t>
  </si>
  <si>
    <t>7717625418</t>
  </si>
  <si>
    <t>ООО "Фабер"</t>
  </si>
  <si>
    <t>5754004013</t>
  </si>
  <si>
    <t>Медведев Алексей Николаевич</t>
  </si>
  <si>
    <t>575201322870</t>
  </si>
  <si>
    <t>302006, Орловская область, город Орёл, Семинарская ул., д.3</t>
  </si>
  <si>
    <t>Производство приборов и аппаратуры для автоматического регулирования или управления (26.51.7)</t>
  </si>
  <si>
    <t>ОБЩЕСТВО С ОГРАНИЧЕННОЙ ОТВЕТСТВЕННОСТЬЮ "А ГРУПП"</t>
  </si>
  <si>
    <t>ОБЩЕСТВО С ОГРАНИЧЕННОЙ ОТВЕТСТВЕННОСТЬЮ "ФАБЕР"</t>
  </si>
  <si>
    <t>9110219@list.ru</t>
  </si>
  <si>
    <t>+7 (495) 911-02-19_x000D_
+7 (925) 507-45-07_x000D_
+7 (495) 911-02-10</t>
  </si>
  <si>
    <t>https://kad.arbitr.ru/Card/ede40b67-efb4-4681-a2b0-feb91521394b</t>
  </si>
  <si>
    <t>А40-36009/2024</t>
  </si>
  <si>
    <t>ЗАО Фирма "Гарни"</t>
  </si>
  <si>
    <t>7709000162</t>
  </si>
  <si>
    <t>Кветный Дмитрий Семенович</t>
  </si>
  <si>
    <t>771914299660</t>
  </si>
  <si>
    <t>город Москва, ул. Александра Солженицына, 19-2</t>
  </si>
  <si>
    <t>Производство обуви (15.20)</t>
  </si>
  <si>
    <t>ЗАКРЫТОЕ АКЦИОНЕРНОЕ ОБЩЕСТВО ФИРМА "ГАРНИ"</t>
  </si>
  <si>
    <t>https://kad.arbitr.ru/Card/930e316b-f13b-43d2-aa40-73e05d38c3f4</t>
  </si>
  <si>
    <t>А40-35864/2024</t>
  </si>
  <si>
    <t>ООО "Всеинструменты.Ру"</t>
  </si>
  <si>
    <t>7722753969</t>
  </si>
  <si>
    <t>ООО "Озгюн-Строй"</t>
  </si>
  <si>
    <t>9703017357</t>
  </si>
  <si>
    <t>Каракуллукчу Сонер</t>
  </si>
  <si>
    <t>770379136854</t>
  </si>
  <si>
    <t>125375, город Москва, Тверская ул, д. 16 стр. 3, эт. 1 помещ. 13/12</t>
  </si>
  <si>
    <t>Разработка строительных проектов (41.10)</t>
  </si>
  <si>
    <t>ОБЩЕСТВО С ОГРАНИЧЕННОЙ ОТВЕТСТВЕННОСТЬЮ "ВСЕИНСТРУМЕНТЫ.РУ"</t>
  </si>
  <si>
    <t>ОБЩЕСТВО С ОГРАНИЧЕННОЙ ОТВЕТСТВЕННОСТЬЮ "ОЗГЮН-СТРОЙ"</t>
  </si>
  <si>
    <t>hotline@pik-comfort.ru_x000D_
arina_lemekhova@mail.ru_x000D_
7012179@mail.ru_x000D_
akaevaea@pik-comfort.ru_x000D_
antonovann@pik-comfort.ru_x000D_
chumakovani@pik-comfort.ru_x000D_
kaznakovayv@pik-comfort.ru_x000D_
pepelinavn@pik-comfort.ru</t>
  </si>
  <si>
    <t>+7 (495) 505-97-33_x000D_
+7 (495) 361-84-14_x000D_
+7 (495) 505-89-89_x000D_
+7 (495) 510-39-70_x000D_
+7 (495) 677-06-12_x000D_
+7 (495) 817-62-38_x000D_
+7 (499) 505-89-89_x000D_
+7 (499) 510-39-70_x000D_
8 (800) 505-89-89_x000D_
+7 (495) 608-00-59_x000D_
+7 (495) 933-42-84_x000D_
8 (800) 234-22-22_x000D_
+7 (916) 192-69-80_x000D_
+7 (495) 716-39-18_x000D_
+7 (495) 716-39-72</t>
  </si>
  <si>
    <t>https://kad.arbitr.ru/Card/b1ff58ee-8ef8-4f5b-a254-fc45c93b2918</t>
  </si>
  <si>
    <t>А40-35805/2024</t>
  </si>
  <si>
    <t>ООО "Хартия"</t>
  </si>
  <si>
    <t>7703770101</t>
  </si>
  <si>
    <t>Розанов Илья Владимирович</t>
  </si>
  <si>
    <t>505201952387</t>
  </si>
  <si>
    <t>123060, город Москва, ул Маршала Соколовского, д. 3, этаж 5 помещ. II ком. 2,4</t>
  </si>
  <si>
    <t>ОБЩЕСТВО С ОГРАНИЧЕННОЙ ОТВЕТСТВЕННОСТЬЮ "ХАРТИЯ"</t>
  </si>
  <si>
    <t>https://kad.arbitr.ru/Card/01e13eec-48f1-4029-8f26-88de2673e6df</t>
  </si>
  <si>
    <t>А40-35708/2024</t>
  </si>
  <si>
    <t>АО "Альфа-Банк"</t>
  </si>
  <si>
    <t>7728168971</t>
  </si>
  <si>
    <t>ИП Качанов Сергей Геннадьевич</t>
  </si>
  <si>
    <t>212710565307</t>
  </si>
  <si>
    <t>Качанов Сергей Геннадьевич</t>
  </si>
  <si>
    <t xml:space="preserve">   Чувашская Республика - Чувашия, город Чебоксары  </t>
  </si>
  <si>
    <t>Разборка и снос зданий (43.11)</t>
  </si>
  <si>
    <t>АКЦИОНЕРНОЕ ОБЩЕСТВО "АЛЬФА-БАНК"</t>
  </si>
  <si>
    <t>https://kad.arbitr.ru/Card/b95df6c7-af2a-4c14-b6da-1a81f9cfae9d</t>
  </si>
  <si>
    <t>А40-35723/2024</t>
  </si>
  <si>
    <t>ИП Баклагин Дмитрий Александрович</t>
  </si>
  <si>
    <t>461302824407</t>
  </si>
  <si>
    <t>Баклагин Дмитрий Александрович</t>
  </si>
  <si>
    <t xml:space="preserve">   Курская область, город Курск  </t>
  </si>
  <si>
    <t>Производство кирпича, черепицы и прочих строительных изделий из обожженной глины (23.32)</t>
  </si>
  <si>
    <t>https://kad.arbitr.ru/Card/75d3fb47-44d4-45fb-9849-40d377a1c658</t>
  </si>
  <si>
    <t>А40-35750/2024</t>
  </si>
  <si>
    <t>ООО "Экомир"</t>
  </si>
  <si>
    <t>2315994374</t>
  </si>
  <si>
    <t>ОБЩЕСТВО С ОГРАНИЧЕННОЙ ОТВЕТСТВЕННОСТЬЮ "ЭКОМИР"</t>
  </si>
  <si>
    <t>info@bsoinsur.ru_x000D_
c0007-1@bsoincur.ru</t>
  </si>
  <si>
    <t>+7 (495) 540-51-10</t>
  </si>
  <si>
    <t>https://kad.arbitr.ru/Card/91204912-0842-48a8-82d0-544222f8f9f7</t>
  </si>
  <si>
    <t>А40-35703/2024</t>
  </si>
  <si>
    <t>ООО "Новая Энергетика"</t>
  </si>
  <si>
    <t>6671311012</t>
  </si>
  <si>
    <t>АО "Боровицкое Страховое Общество"</t>
  </si>
  <si>
    <t>7714034590</t>
  </si>
  <si>
    <t>Шамшев Константин Валерьевич</t>
  </si>
  <si>
    <t>773002453446</t>
  </si>
  <si>
    <t>119049, город Москва, Мытная ул, д. 1 стр. 1</t>
  </si>
  <si>
    <t>Страхование, кроме страхования жизни (65.12)</t>
  </si>
  <si>
    <t>ОБЩЕСТВО С ОГРАНИЧЕННОЙ ОТВЕТСТВЕННОСТЬЮ "НОВАЯ ЭНЕРГЕТИКА"</t>
  </si>
  <si>
    <t>АКЦИОНЕРНОЕ ОБЩЕСТВО "БОРОВИЦКОЕ СТРАХОВОЕ ОБЩЕСТВО"</t>
  </si>
  <si>
    <t>tendercds@mail.ru_x000D_
cds.duh@mail.ru_x000D_
cds@ncport.ru_x000D_
info@oaocds.ru_x000D_
oaocdsbuh@list.ru_x000D_
cds@oaocds.ru</t>
  </si>
  <si>
    <t>+7 (495) 628-47-48_x000D_
+7 (495) 628-62-45_x000D_
+7 (495) 625-55-49_x000D_
+7 (495) 628-57-93_x000D_
+7 (495) 928-47-48_x000D_
+7 (495) 279-56-38_x000D_
+7 (495) 528-06-54_x000D_
+7 (495) 626-62-45</t>
  </si>
  <si>
    <t>https://kad.arbitr.ru/Card/b81df256-feb3-4a30-be05-be0719187bb9</t>
  </si>
  <si>
    <t>А40-35566/2024</t>
  </si>
  <si>
    <t>ООО "Макси Строй"</t>
  </si>
  <si>
    <t>3907061089</t>
  </si>
  <si>
    <t>АО "ЦДС"</t>
  </si>
  <si>
    <t>7702059544</t>
  </si>
  <si>
    <t>Теплинский Дмитрий Сергеевич</t>
  </si>
  <si>
    <t>780528101649</t>
  </si>
  <si>
    <t>107031, город Москва, ул. Кузнецкий Мост, д.19 к.2</t>
  </si>
  <si>
    <t>ОБЩЕСТВО С ОГРАНИЧЕННОЙ ОТВЕТСТВЕННОСТЬЮ "МАКСИ СТРОЙ"</t>
  </si>
  <si>
    <t>АКЦИОНЕРНОЕ ОБЩЕСТВО "ЦЕНТРОДОРСТРОЙ"</t>
  </si>
  <si>
    <t>ct-ctc2017@yandex.ru</t>
  </si>
  <si>
    <t>https://kad.arbitr.ru/Card/f30a4aa7-5455-4314-b23e-6cf62c2ac6cc</t>
  </si>
  <si>
    <t>А40-35488/2024</t>
  </si>
  <si>
    <t>ООО "Развитие"</t>
  </si>
  <si>
    <t>1832156837</t>
  </si>
  <si>
    <t>ООО "СК "Пантеон"</t>
  </si>
  <si>
    <t>7713772362</t>
  </si>
  <si>
    <t>Кайтуков Андрей Казбекович</t>
  </si>
  <si>
    <t>502239769515</t>
  </si>
  <si>
    <t>117218, город Москва, Большая Черёмушкинская ул, д. 34, этаж 3 помещ. 324,323/ком 323.1, 323.2, 323.3</t>
  </si>
  <si>
    <t>ОБЩЕСТВО С ОГРАНИЧЕННОЙ ОТВЕТСТВЕННОСТЬЮ "РАЗВИТИЕ"</t>
  </si>
  <si>
    <t>ОБЩЕСТВО С ОГРАНИЧЕННОЙ ОТВЕТСТВЕННОСТЬЮ "СК "ПАНТЕОН"</t>
  </si>
  <si>
    <t>https://kad.arbitr.ru/Card/d8868639-d0ed-44a1-8a46-4d46cfc0f7ed</t>
  </si>
  <si>
    <t>А40-35395/2024</t>
  </si>
  <si>
    <t>ИП Епихин Дмитрий Андреевич</t>
  </si>
  <si>
    <t>772426726014</t>
  </si>
  <si>
    <t>ООО "Всеновостройки.Ру"</t>
  </si>
  <si>
    <t>7724415683</t>
  </si>
  <si>
    <t>Лузанова Анастасия Николаевна</t>
  </si>
  <si>
    <t>502100175499</t>
  </si>
  <si>
    <t>117405, город Москва, Дорожная ул, д. 60б, офис 249</t>
  </si>
  <si>
    <t>Деятельность рекламных агентств (73.11)</t>
  </si>
  <si>
    <t>ОБЩЕСТВО С ОГРАНИЧЕННОЙ ОТВЕТСТВЕННОСТЬЮ "ВСЕНОВОСТРОЙКИ.РУ"</t>
  </si>
  <si>
    <t>https://kad.arbitr.ru/Card/01c38e36-36b4-44d6-9c50-5947fcd80401</t>
  </si>
  <si>
    <t>А40-35346/2024</t>
  </si>
  <si>
    <t>ООО "Эколайн"</t>
  </si>
  <si>
    <t>7719843549</t>
  </si>
  <si>
    <t>ОБЩЕСТВО С ОГРАНИЧЕННОЙ ОТВЕТСТВЕННОСТЬЮ "ЭКОЛАЙН"</t>
  </si>
  <si>
    <t>+7 (937) 154-99-77</t>
  </si>
  <si>
    <t>https://kad.arbitr.ru/Card/dc11366b-0a11-4721-a0e9-7adb6f4411d4</t>
  </si>
  <si>
    <t>А40-35292/2024</t>
  </si>
  <si>
    <t>ООО "Дип-Строй"</t>
  </si>
  <si>
    <t>0267022157</t>
  </si>
  <si>
    <t>Лысюк Дмитрий Юрьевич</t>
  </si>
  <si>
    <t>026705057874</t>
  </si>
  <si>
    <t>453838, Республика Башкортостан, город Сибай, Индустриальное ш, д. 1, помещ. 24</t>
  </si>
  <si>
    <t>ОБЩЕСТВО С ОГРАНИЧЕННОЙ ОТВЕТСТВЕННОСТЬЮ "ДИП-СТРОЙ"</t>
  </si>
  <si>
    <t>terekhov6969@mail.ru</t>
  </si>
  <si>
    <t>https://kad.arbitr.ru/Card/0de2c44c-ed75-4072-b769-f7a8a7ddf823</t>
  </si>
  <si>
    <t>А40-35257/2024</t>
  </si>
  <si>
    <t>ООО "Биджи Инжиниринг"</t>
  </si>
  <si>
    <t>5047194537</t>
  </si>
  <si>
    <t>ООО "СК Паритет"</t>
  </si>
  <si>
    <t>5032333890</t>
  </si>
  <si>
    <t>Терехов Олег Евгеньевич</t>
  </si>
  <si>
    <t>402702232046</t>
  </si>
  <si>
    <t>143002, Московская область, г Одинцово, Акуловская ул, д. 1, офис 34/2</t>
  </si>
  <si>
    <t>Производство санитарно-технических работ, монтаж отопительных систем и систем кондиционирования воздуха (43.22)</t>
  </si>
  <si>
    <t>ОБЩЕСТВО С ОГРАНИЧЕННОЙ ОТВЕТСТВЕННОСТЬЮ "БИДЖИ ИНЖИНИРИНГ"</t>
  </si>
  <si>
    <t>ОБЩЕСТВО С ОГРАНИЧЕННОЙ ОТВЕТСТВЕННОСТЬЮ "СК ПАРИТЕТ"</t>
  </si>
  <si>
    <t>assistant_spb@rosinter.ru_x000D_
nlibkina@rosinter.ru_x000D_
ikirushina@rosinter.ru_x000D_
mrumyantseva@rosinter.ru_x000D_
nbodrova@rosinter.ru_x000D_
oeliseeva@rosinter.ru_x000D_
mushakova@rosinter.ru</t>
  </si>
  <si>
    <t>+7 (495) 788-44-88_x000D_
+7 (960) 244-09-33_x000D_
+7 (495) 424-61-20_x000D_
+7 (495) 788-44-88, доб 2586_x000D_
+7 (812) 331-88-47_x000D_
+7 (903) 735-24-27_x000D_
+7 (967) 174-54-29_x000D_
+7 (495) 956-47-05_x000D_
+7 (4967) 52-54-85_x000D_
+7 (952) 459-92-98</t>
  </si>
  <si>
    <t>http://www.rosinter.ru/</t>
  </si>
  <si>
    <t>https://kad.arbitr.ru/Card/ea0d2527-e458-48f2-9190-6e174aa43ad7</t>
  </si>
  <si>
    <t>А40-35222/2024</t>
  </si>
  <si>
    <t>ООО "Торговый Дом "Таганка М"</t>
  </si>
  <si>
    <t>7709217912</t>
  </si>
  <si>
    <t>ООО "РОСИНТЕР Ресторантс"</t>
  </si>
  <si>
    <t>7737115648</t>
  </si>
  <si>
    <t>Костеева Маргарита Валерьевна</t>
  </si>
  <si>
    <t>774304331301</t>
  </si>
  <si>
    <t>111024, город Москва, Душинская ул., д. 7 стр 1</t>
  </si>
  <si>
    <t>ОБЩЕСТВО С ОГРАНИЧЕННОЙ ОТВЕТСТВЕННОСТЬЮ "ТОРГОВЫЙ ДОМ "ТАГАНКА М"</t>
  </si>
  <si>
    <t>ОБЩЕСТВО С ОГРАНИЧЕННОЙ ОТВЕТСТВЕННОСТЬЮ "РЕСТОРАННАЯ ОБЪЕДИНЕННАЯ СЕТЬ И НОВЕЙШИЕ ТЕХНОЛОГИИ ЕВРОАМЕРИКАНСКОГО РАЗВИТИЯ РЕСТОРАНТС"</t>
  </si>
  <si>
    <t>buh@prostor.ru</t>
  </si>
  <si>
    <t>+7 (495) 502-81-71</t>
  </si>
  <si>
    <t>https://kad.arbitr.ru/Card/129d2de5-7329-4db7-aca8-38c46f0782cb</t>
  </si>
  <si>
    <t>А40-35247/2024</t>
  </si>
  <si>
    <t>ООО "Академия Льда"</t>
  </si>
  <si>
    <t>9715321714</t>
  </si>
  <si>
    <t>ООО "Простор-Л"</t>
  </si>
  <si>
    <t>5018183386</t>
  </si>
  <si>
    <t>Солдатов Василий Григорьевич</t>
  </si>
  <si>
    <t>501800963408</t>
  </si>
  <si>
    <t>141070, Московская область, город Королёв, ул. Циолковского, д. 2а, помещ. VIII</t>
  </si>
  <si>
    <t>Производство промышленного холодильного и вентиляционного оборудования (28.25)</t>
  </si>
  <si>
    <t>ОБЩЕСТВО С ОГРАНИЧЕННОЙ ОТВЕТСТВЕННОСТЬЮ "АКАДЕМИЯ ЛЬДА"</t>
  </si>
  <si>
    <t>ОБЩЕСТВО С ОГРАНИЧЕННОЙ ОТВЕТСТВЕННОСТЬЮ "ПРОСТОР-Л"</t>
  </si>
  <si>
    <t>trcont@trcont.ru_x000D_
chita.trcont@mail.ru_x000D_
kulkovrs@trcont.ru_x000D_
deynegaon@trcont.ru_x000D_
golovinda@trcont.ru_x000D_
gurianovaius@trcont.ru_x000D_
komisarovdg@trcont.ru_x000D_
kraszd@trcont.ru_x000D_
lin.vitebsk@yandex.ru_x000D_
lukaninav@trcont.ru_x000D_
lupandinov@trcont.ru_x000D_
skzd@trcont.ru_x000D_
tr@m.ru_x000D_
vszd@trcont.ru_x000D_
zszd@trcont.ru_x000D_
AlbitovaTN@trcont.ru</t>
  </si>
  <si>
    <t>+7 (3022) 22-54-69_x000D_
+7 (3022) 32-52-11_x000D_
+7 (383) 222-21-00_x000D_
+7 (3912) 48-00-45_x000D_
+7 (495) 262-85-06_x000D_
+7 (495) 788-17-17_x000D_
+7 (499) 262-75-78_x000D_
+7 (831) 248-42-53_x000D_
+7 (3022) 22-00-39_x000D_
+7 (3022) 22-00-58_x000D_
+7 (343) 380-12-00_x000D_
+7 (343) 380-12-46_x000D_
+7 (383) 229-42-27_x000D_
+7 (383) 248-03-19_x000D_
+7 (3912) 48-00-36_x000D_
+7 (3912) 48-13-22_x000D_
+7 (3952) 64-20-24_x000D_
+7 (4212) 45-12-10_x000D_
+7 (4852) 79-88-81_x000D_
+7 (812) 458-67-99_x000D_
+7 (831) 224-84-25, доб 3_x000D_
+7 (831) 248-27-47_x000D_
+7 (831) 275-69-84_x000D_
+7 (8793) 39-85-22_x000D_
+7 (4732) 65-35-08_x000D_
+7 (8452) 39-00-54_x000D_
+7 (863) 259-46-76_x000D_
+7 (863) 282-95-03_x000D_
+7 (3912) 48-00-31_x000D_
+7 (383) 227-18-52_x000D_
+7 (3952) 64-20-20_x000D_
+7 (831) 248-37-29_x000D_
+7 (812) 458-68-00_x000D_
+7 (499) 262-51-71_x000D_
+7 (4212) 38-55-08_x000D_
+7 (4852) 23-02-77_x000D_
+7 (3022) 22-71-18_x000D_
+7 (383) 229-47-57_x000D_
+7 (3912) 24-80-04, доб 5_x000D_
+7 (3952) 64-59-48_x000D_
+7 (3952) 64-59-50_x000D_
+7 (4212) 38-47-52_x000D_
+7 (4212) 38-54-72_x000D_
+7 (4732) 55-83-23_x000D_
+7 (4852) 23-01-20_x000D_
+7 (495) 262-75-78_x000D_
+7 (495) 495-26-23, доб 300_x000D_
+7 (495) 495-26-26, доб 135_x000D_
+7 (499) 154-82-02_x000D_
+7 (812) 458-68-04_x000D_
+7 (812) 458-91-18_x000D_
+7 (8452) 39-00-48_x000D_
+7 (846) 303-24-68_x000D_
+7 (863) 259-08-98_x000D_
+7 (863) 269-92-28_x000D_
+7 (499) 262-33-00_x000D_
+7 (495) 222-21-00_x000D_
+7 (3022) 22-00-29_x000D_
+7 (3466) 46-75-06_x000D_
+7 (495) 788-17-17, доб 4812_x000D_
+7 (3022) 22-59-25_x000D_
+7 (351) 259-22-61_x000D_
+7 (4212) 45-12-10, доб 8_x000D_
+7 (499) 788-17-17_x000D_
+7 (351) 259-24-79_x000D_
+7 (831) 248-80-02_x000D_
+7 (812) 495-41-76_x000D_
+7 (343) 262-85-06_x000D_
+7 (499) 262-85-06_x000D_
+7 (343) 380-12-00, доб 5007_x000D_
+7 (343) 380-12-00, доб 5008_x000D_
+7 (863) 259-08-74_x000D_
+7 (4212) 45-12-19_x000D_
+7 (495) 266-11-86</t>
  </si>
  <si>
    <t>http://www.e-disclosure.ru/portal/company.aspx?id=11194_x000D_
http://www.trcont.com/_x000D_
http://www.trcont.ru/_x000D_
https://trcont.com/</t>
  </si>
  <si>
    <t>https://kad.arbitr.ru/Card/50d6b501-6538-43d7-a845-607545872969</t>
  </si>
  <si>
    <t>А40-35177/2024</t>
  </si>
  <si>
    <t>ООО "Восточный Экспресс"</t>
  </si>
  <si>
    <t>9705096153</t>
  </si>
  <si>
    <t>ПАО "Трансконтейнер"</t>
  </si>
  <si>
    <t>7708591995</t>
  </si>
  <si>
    <t>Концерев Михаил Рудольфович</t>
  </si>
  <si>
    <t>781400896256</t>
  </si>
  <si>
    <t>141402, Московская область, г Химки, Ленинградская ул, влд. 39 стр. 6, офис 3 (этаж 6)</t>
  </si>
  <si>
    <t>Деятельность вспомогательная прочая, связанная с перевозками (52.29)</t>
  </si>
  <si>
    <t>ОБЩЕСТВО С ОГРАНИЧЕННОЙ ОТВЕТСТВЕННОСТЬЮ "ВОСТОЧНЫЙ ЭКСПРЕСС"</t>
  </si>
  <si>
    <t>ПУБЛИЧНОЕ АКЦИОНЕРНОЕ ОБЩЕСТВО "ТРАНСКОНТЕЙНЕР"</t>
  </si>
  <si>
    <t>https://kad.arbitr.ru/Card/8e334aac-c0c9-4381-ac3a-096e42662c7f</t>
  </si>
  <si>
    <t>А40-35186/2024</t>
  </si>
  <si>
    <t>ООО "РАР"</t>
  </si>
  <si>
    <t>1655294280</t>
  </si>
  <si>
    <t>ООО "Газ-Автоматика"</t>
  </si>
  <si>
    <t>1660199881</t>
  </si>
  <si>
    <t>Зайцева Александра Сергеевна</t>
  </si>
  <si>
    <t>161601918260</t>
  </si>
  <si>
    <t>420081, Республика Татарстан, г Казань, ул Седова, зд. 27 к. 3, этаж 2 помещ. 11</t>
  </si>
  <si>
    <t>Строительство инженерных коммуникаций для водоснабжения и водоотведения, газоснабжения (42.21)</t>
  </si>
  <si>
    <t>ОБЩЕСТВО С ОГРАНИЧЕННОЙ ОТВЕТСТВЕННОСТЬЮ "РАР"</t>
  </si>
  <si>
    <t>ОБЩЕСТВО С ОГРАНИЧЕННОЙ ОТВЕТСТВЕННОСТЬЮ "ГАЗ-АВТОМАТИКА"</t>
  </si>
  <si>
    <t>welcome@turandot-palace.ru_x000D_
razumova@maison-dellos.com</t>
  </si>
  <si>
    <t>+7 (495) 739-00-11_x000D_
+7 (495) 252-21-24_x000D_
+7 (919) 993-00-72_x000D_
+7 (495) 641-19-27_x000D_
+7 (495) 739-00-11, доб 3503_x000D_
+7 (495) 739-00-11, доб 3537_x000D_
+7 (495) 739-00-11, доб 3403_x000D_
+7 (495) 982-43-19</t>
  </si>
  <si>
    <t>http://www.maison-dellos.com/</t>
  </si>
  <si>
    <t>https://kad.arbitr.ru/Card/51363cb0-1894-43d5-8518-09ebcc4247c9</t>
  </si>
  <si>
    <t>А40-35076/2024</t>
  </si>
  <si>
    <t>ООО "Авентура"</t>
  </si>
  <si>
    <t>7453190835</t>
  </si>
  <si>
    <t>ООО "Юста Лайн"</t>
  </si>
  <si>
    <t>7703286155</t>
  </si>
  <si>
    <t>Сибиряков Артем Сергеевич</t>
  </si>
  <si>
    <t>500122187014</t>
  </si>
  <si>
    <t>125375, город Москва, Тверской б-р, д. 26а</t>
  </si>
  <si>
    <t>ОБЩЕСТВО С ОГРАНИЧЕННОЙ ОТВЕТСТВЕННОСТЬЮ "АВЕНТУРА"</t>
  </si>
  <si>
    <t>ОБЩЕСТВО С ОГРАНИЧЕННОЙ ОТВЕТСТВЕННОСТЬЮ "ЮСТА ЛАЙН"</t>
  </si>
  <si>
    <t>info@dolomant.ru</t>
  </si>
  <si>
    <t>+7 (495) 234-06-36_x000D_
+7 (495) 232-20-33_x000D_
+7 (495) 234-06-39_x000D_
+7 (495) 739-07-76_x000D_
+7 (495) 739-07-73_x000D_
+7 (499) 781-69-18_x000D_
+7 (495) 739-07-75_x000D_
+7 (8612) 24-95-13_x000D_
+7 (495) 232-16-54_x000D_
+7 (495) 232-20-22_x000D_
+7 (495) 232-39-93</t>
  </si>
  <si>
    <t>http://www.dolomant.ru/_x000D_
http://www.fasteko.ru/</t>
  </si>
  <si>
    <t>https://kad.arbitr.ru/Card/d59d286b-20f6-423c-a571-e60e8827d614</t>
  </si>
  <si>
    <t>А40-35101/2024</t>
  </si>
  <si>
    <t>ООО "Легат"</t>
  </si>
  <si>
    <t>7728552360</t>
  </si>
  <si>
    <t>ЗАО "НПФ "Доломант"</t>
  </si>
  <si>
    <t>7728512529</t>
  </si>
  <si>
    <t>Федякин Николай Викторович</t>
  </si>
  <si>
    <t>772801332703</t>
  </si>
  <si>
    <t>117342, город Москва, ул. Введенского, д.3</t>
  </si>
  <si>
    <t>Производство частей приборов и инструментов для навигации, управления, измерения, контроля, испытаний и прочих целей (26.51.8)</t>
  </si>
  <si>
    <t>ОБЩЕСТВО С ОГРАНИЧЕННОЙ ОТВЕТСТВЕННОСТЬЮ "ЛЕГАТ"</t>
  </si>
  <si>
    <t>ЗАКРЫТОЕ АКЦИОНЕРНОЕ ОБЩЕСТВО "НАУЧНО-ПРОИЗВОДСТВЕННАЯ ФИРМА "ДОЛОМАНТ"</t>
  </si>
  <si>
    <t>stspsila@mail.ru_x000D_
notarius001@mail.ru_x000D_
stroispetssila@mail.ru_x000D_
stroispetssilf@mail.ru_x000D_
stroy@mail.ru_x000D_
stroiSpetsSikf@mail.ru</t>
  </si>
  <si>
    <t>+7 (495) 733-57-28_x000D_
+7 (495) 773-41-58_x000D_
+7 (926) 000-23-65_x000D_
+7 (962) 951-20-01_x000D_
+7 (495) 733-57-31</t>
  </si>
  <si>
    <t>https://kad.arbitr.ru/Card/d59d5475-fd9d-40f7-95ff-607d548daab0</t>
  </si>
  <si>
    <t>А40-35070/2024</t>
  </si>
  <si>
    <t>ООО "Инженерные Системы"</t>
  </si>
  <si>
    <t>7724488650</t>
  </si>
  <si>
    <t>ООО "Стройспецсила"</t>
  </si>
  <si>
    <t>7715724438</t>
  </si>
  <si>
    <t>Сухорученков Максим Сергеевич</t>
  </si>
  <si>
    <t>673000764034</t>
  </si>
  <si>
    <t>119633, город Москва, Новоорловская ул., д. 7а, этаж 2 офис 217</t>
  </si>
  <si>
    <t>ОБЩЕСТВО С ОГРАНИЧЕННОЙ ОТВЕТСТВЕННОСТЬЮ "ИНЖЕНЕРНЫЕ СИСТЕМЫ"</t>
  </si>
  <si>
    <t>ОБЩЕСТВО С ОГРАНИЧЕННОЙ ОТВЕТСТВЕННОСТЬЮ "СТРОЙСПЕЦСИЛА"</t>
  </si>
  <si>
    <t>lyudino@bk.ru</t>
  </si>
  <si>
    <t>https://kad.arbitr.ru/Card/5b58b1ba-e2e4-4c84-8a31-ec9ab9851fc5</t>
  </si>
  <si>
    <t>А40-35071/2024</t>
  </si>
  <si>
    <t>ИП Сильченко Кристина Викторовна</t>
  </si>
  <si>
    <t>231296792100</t>
  </si>
  <si>
    <t>ООО "Людин"</t>
  </si>
  <si>
    <t>9704084902</t>
  </si>
  <si>
    <t>Паршина Татьяна Александровна</t>
  </si>
  <si>
    <t>772607886235</t>
  </si>
  <si>
    <t>119121, город Москва, Ружейный пер, д. 3, этаж/помещ 1/XIV ком/офис 13/13-2</t>
  </si>
  <si>
    <t>Торговля оптовая прочими машинами, приборами, аппаратурой и оборудованием общепромышленного и специального назначения (46.69.9)</t>
  </si>
  <si>
    <t>ОБЩЕСТВО С ОГРАНИЧЕННОЙ ОТВЕТСТВЕННОСТЬЮ "ЛЮДИН"</t>
  </si>
  <si>
    <t>https://kad.arbitr.ru/Card/7eacead3-ed26-4ebd-a619-8b8429b34957</t>
  </si>
  <si>
    <t>А40-35009/2024</t>
  </si>
  <si>
    <t>ООО "Строй Инвест"</t>
  </si>
  <si>
    <t>9705083115</t>
  </si>
  <si>
    <t>ООО "Диалог"</t>
  </si>
  <si>
    <t>7721569999</t>
  </si>
  <si>
    <t>Дмитриченкова Татьяна Владимировна</t>
  </si>
  <si>
    <t>503111111925</t>
  </si>
  <si>
    <t>109377, город Москва, 1-Я Новокузьминская ул, д. 13/8, помещ. III,этаж п ком. 5</t>
  </si>
  <si>
    <t>ОБЩЕСТВО С ОГРАНИЧЕННОЙ ОТВЕТСТВЕННОСТЬЮ "СТРОЙ ИНВЕСТ"</t>
  </si>
  <si>
    <t>ОБЩЕСТВО С ОГРАНИЧЕННОЙ ОТВЕТСТВЕННОСТЬЮ "ДИАЛОГ"</t>
  </si>
  <si>
    <t>+7 (926) 736-30-83</t>
  </si>
  <si>
    <t>https://kad.arbitr.ru/Card/122b18ab-72f8-4bf1-b7c0-a80027a1035f</t>
  </si>
  <si>
    <t>А40-35007/2024</t>
  </si>
  <si>
    <t>ООО "Ситистройтандем"</t>
  </si>
  <si>
    <t>7725684512</t>
  </si>
  <si>
    <t>ООО "Новация"</t>
  </si>
  <si>
    <t>7721813020</t>
  </si>
  <si>
    <t>Столярова Александра Валерьевна</t>
  </si>
  <si>
    <t>772208775004</t>
  </si>
  <si>
    <t>123317, город Москва, Звенигородское ш, д. 28 стр. 39</t>
  </si>
  <si>
    <t>ОБЩЕСТВО С ОГРАНИЧЕННОЙ ОТВЕТСТВЕННОСТЬЮ "СИТИСТРОЙТАНДЕМ"</t>
  </si>
  <si>
    <t>ОБЩЕСТВО С ОГРАНИЧЕННОЙ ОТВЕТСТВЕННОСТЬЮ "НОВАЦИЯ"</t>
  </si>
  <si>
    <t>usmr4511c@eandex.ru</t>
  </si>
  <si>
    <t>+7 (903) 744-55-25</t>
  </si>
  <si>
    <t>https://kad.arbitr.ru/Card/cdcf6ce4-a2be-48b6-8b9f-357066e4b4c5</t>
  </si>
  <si>
    <t>А40-34993/2024</t>
  </si>
  <si>
    <t>ИП Красильников Илья Борисович</t>
  </si>
  <si>
    <t>525910700458</t>
  </si>
  <si>
    <t>ООО "Усмр-45"</t>
  </si>
  <si>
    <t>7720413029</t>
  </si>
  <si>
    <t>Балашов Илья Сергеевич</t>
  </si>
  <si>
    <t>772032689567</t>
  </si>
  <si>
    <t>105118, город Москва, ул. Буракова, д. 27 к. 3, э 3 пом IV к 42</t>
  </si>
  <si>
    <t>ОБЩЕСТВО С ОГРАНИЧЕННОЙ ОТВЕТСТВЕННОСТЬЮ "УСМР-45"</t>
  </si>
  <si>
    <t>+7 (909) 949-99-88_x000D_
+7 (499) 450-99-21</t>
  </si>
  <si>
    <t>https://kad.arbitr.ru/Card/27c50a41-c5b1-4038-8033-8171aed9c76f</t>
  </si>
  <si>
    <t>А40-35089/2024</t>
  </si>
  <si>
    <t>ООО "ТМ-Групп"</t>
  </si>
  <si>
    <t>7707376804</t>
  </si>
  <si>
    <t>Мальсагова Лейла Ахметовна</t>
  </si>
  <si>
    <t>772618155413</t>
  </si>
  <si>
    <t>115280, город Москва, ул Ленинская Слобода, д. 19, помещ. 22/2</t>
  </si>
  <si>
    <t>ОБЩЕСТВО С ОГРАНИЧЕННОЙ ОТВЕТСТВЕННОСТЬЮ "ТМ-ГРУПП"</t>
  </si>
  <si>
    <t>+7 (846) 241-77-10_x000D_
+7 (846) 222-41-77</t>
  </si>
  <si>
    <t>http://tr-serv.ru/</t>
  </si>
  <si>
    <t>https://kad.arbitr.ru/Card/ce790b60-b42b-4ff6-95c4-191682e86979</t>
  </si>
  <si>
    <t>А40-36130/2024</t>
  </si>
  <si>
    <t>ООО "Транзит Сервис"</t>
  </si>
  <si>
    <t>6311048824</t>
  </si>
  <si>
    <t>Климантова Елена Анатольевна</t>
  </si>
  <si>
    <t>631902673883</t>
  </si>
  <si>
    <t>443082, Самарская область, город Самара, Владимирская ул., д.41а, офис 3-21</t>
  </si>
  <si>
    <t>ОБЩЕСТВО С ОГРАНИЧЕННОЙ ОТВЕТСТВЕННОСТЬЮ "ТРАНЗИТ СЕРВИС"</t>
  </si>
  <si>
    <t>https://kad.arbitr.ru/Card/fa5e316b-ed27-4abe-9dcf-eb43947ed88a</t>
  </si>
  <si>
    <t>А40-36143/2024</t>
  </si>
  <si>
    <t>ИП Кудашов Андрей Павлович</t>
  </si>
  <si>
    <t>690708315964</t>
  </si>
  <si>
    <t>Кудашов Андрей Павлович</t>
  </si>
  <si>
    <t xml:space="preserve">   Тверская область, Бологовский район, поселок городского типа Куженкино  </t>
  </si>
  <si>
    <t>Торговля розничная по почте или по информационно-коммуникационной сети Интернет (47.91)</t>
  </si>
  <si>
    <t>Самоделова Лидия Николаевна</t>
  </si>
  <si>
    <t>Определение Об оставлении искового заявления (заявления) без движения</t>
  </si>
  <si>
    <t>vek_stroi@mail.ru</t>
  </si>
  <si>
    <t>+7 (86141) 3-22-96_x000D_
+7 (86141) 5-44-47_x000D_
+7 (86141) 3-26-56_x000D_
+7 (86141) 3-22-94_x000D_
+7 (86141) 5-10-36_x000D_
+7 (86141) 7-10-10_x000D_
+7 (928) 432-99-81_x000D_
+7 (928) 881-17-77_x000D_
+7 (964) 921-20-20</t>
  </si>
  <si>
    <t>https://kad.arbitr.ru/Card/b62847d6-72ad-4f9c-9326-6ab90eab6751</t>
  </si>
  <si>
    <t>А40-36113/2024</t>
  </si>
  <si>
    <t>АО "Банк СГБ"</t>
  </si>
  <si>
    <t>3525023780</t>
  </si>
  <si>
    <t>ООО "ВЕК"</t>
  </si>
  <si>
    <t>2304034735</t>
  </si>
  <si>
    <t>Воронцов Владимир Васильевич</t>
  </si>
  <si>
    <t>230403290931</t>
  </si>
  <si>
    <t>353460, Краснодарский край, г Геленджик, ул Островского, д. 141, кв. 312</t>
  </si>
  <si>
    <t>АКЦИОНЕРНОЕ ОБЩЕСТВО "СЕВЕРГАЗБАНК"</t>
  </si>
  <si>
    <t>ОБЩЕСТВО С ОГРАНИЧЕННОЙ ОТВЕТСТВЕННОСТЬЮ "ВЕК"</t>
  </si>
  <si>
    <t>avtomdorogi@mail.ru_x000D_
skveto@mail.ru_x000D_
nsi-40@yandex.ru_x000D_
ador-kanc@dom.mos.ru_x000D_
ked@mail.ru_x000D_
ad.opt@mail.ru_x000D_
avto@mail.ru_x000D_
dmo-1@mail.ru_x000D_
dmu-1@mail.ru_x000D_
pkkr-avtodor@mail.ru_x000D_
dmu-1ok@yandex.ru</t>
  </si>
  <si>
    <t>+7 (495) 940-09-37_x000D_
+7 (495) 940-11-82_x000D_
+7 (495) 669-30-63_x000D_
+7 (495) 689-30-63, доб 2135_x000D_
+7 (499) 722-90-00_x000D_
+7 (903) 782-96-82_x000D_
+7(495)9400937_x000D_
+7(495)9408263_x000D_
+7 (495) 940-82-63_x000D_
+7(495)6894086_x000D_
+7 (495) 689-40-86_x000D_
+7 (495) 957-99-77_x000D_
+7 (495) 940-11-74_x000D_
+7 (495) 940-06-94_x000D_
+7 (495) 302-85-26</t>
  </si>
  <si>
    <t>http://gbuador.ru/_x000D_
http://stroivisota.ru/</t>
  </si>
  <si>
    <t>https://kad.arbitr.ru/Card/26f0a457-bf51-42ae-a640-632a6d9c111b</t>
  </si>
  <si>
    <t>А40-36139/2024</t>
  </si>
  <si>
    <t>ФКУ "Войсковая Часть 33877"</t>
  </si>
  <si>
    <t>5048022643</t>
  </si>
  <si>
    <t>ГБУ "Автомобильные Дороги"</t>
  </si>
  <si>
    <t>7727656790</t>
  </si>
  <si>
    <t>Орешкин Александр Станиславович</t>
  </si>
  <si>
    <t>771002705058</t>
  </si>
  <si>
    <t>123007, город Москва, 1-Я Магистральная ул, д. 23 стр. 21</t>
  </si>
  <si>
    <t>Деятельность по эксплуатации автомобильных дорог и автомагистралей (52.21.22)</t>
  </si>
  <si>
    <t>ФЕДЕРАЛЬНОЕ КАЗЕННОЕ УЧРЕЖДЕНИЕ "ВОЙСКОВАЯ ЧАСТЬ 33877"</t>
  </si>
  <si>
    <t>ГОСУДАРСТВЕННОЕ БЮДЖЕТНОЕ УЧРЕЖДЕНИЕ ГОРОДА МОСКВЫ "АВТОМОБИЛЬНЫЕ ДОРОГИ"</t>
  </si>
  <si>
    <t>vage@mira.company_x000D_
adfn@mail.ru_x000D_
aleksandr@mira.compani_x000D_
carlos@mira.company_x000D_
carlos@mira.company.ru_x000D_
eldar@mira.company_x000D_
info@k-agent.ru_x000D_
info@mira.msk.ru_x000D_
mira@mail.ru_x000D_
net@net.ru_x000D_
ohota69@mail.ru_x000D_
romanenko@mira.company_x000D_
tender@mira.company_x000D_
timur@mira.company_x000D_
zakaz@mail.ru</t>
  </si>
  <si>
    <t>+7 (495) 380-36-61_x000D_
+7 (4822) 50-98-01_x000D_
+7 (495) 380-38-61_x000D_
+7 (495) 545-41-58_x000D_
+7 (495) 651-61-66_x000D_
+7 (495) 901-66-30, доб 107_x000D_
+7 (495) 902-66-30, доб 104_x000D_
+7 (495) 902-66-30, доб 107_x000D_
+7 (495) 902-66-30, доб 111_x000D_
+7 (495) 902-66-30, доб 115_x000D_
+7 (495) 902-66-39_x000D_
+7 (495) 902-66-70_x000D_
+7 (495) 906-66-30_x000D_
+7 (499) 707-14-23_x000D_
+7 (84722) 3-56-35, доб 6_x000D_
+7 (962) 939-91-39_x000D_
+7 (969) 123-93-29_x000D_
+7 (495) 902-66-30_x000D_
+7 (906) 738-14-35_x000D_
+7 (495) 903-63-30_x000D_
+7 (495) 380-38-61, доб 107_x000D_
+7 (495) 902-66-30, доб 114_x000D_
+7 (495) 902-66-30, доб 100_x000D_
+7 (926) 665-34-55</t>
  </si>
  <si>
    <t>https://kad.arbitr.ru/Card/7b72dd2c-4cac-4020-9664-dbdd5c458e0b</t>
  </si>
  <si>
    <t>А40-36072/2024</t>
  </si>
  <si>
    <t>АО "Крафтвэй Корпорэйшн ПЛС"</t>
  </si>
  <si>
    <t>5018037096</t>
  </si>
  <si>
    <t>ООО "Мира"</t>
  </si>
  <si>
    <t>7716735094</t>
  </si>
  <si>
    <t>Арутюнян Ваге Эдуардович</t>
  </si>
  <si>
    <t>772465217878</t>
  </si>
  <si>
    <t>129327, город Москва, ул. Коминтерна, д.7 к.2</t>
  </si>
  <si>
    <t>Торговля оптовая компьютерами, периферийными устройствами к компьютерам и программным обеспечением (46.51)</t>
  </si>
  <si>
    <t>АКЦИОНЕРНОЕ ОБЩЕСТВО "КРАФТВЭЙ КОРПОРЭЙШН ПЛС"</t>
  </si>
  <si>
    <t>ОБЩЕСТВО С ОГРАНИЧЕННОЙ ОТВЕТСТВЕННОСТЬЮ "МИРА"</t>
  </si>
  <si>
    <t>+7 (383) 213-31-32_x000D_
8 (800) 511-87-82</t>
  </si>
  <si>
    <t>http://sibm-nsk.com/_x000D_
http://stroystil-nsk.ru/</t>
  </si>
  <si>
    <t>https://kad.arbitr.ru/Card/b92d66c8-321c-4059-a4f6-f83b19e16578</t>
  </si>
  <si>
    <t>А40-36046/2024</t>
  </si>
  <si>
    <t>ООО "Бизнес-Сервис"</t>
  </si>
  <si>
    <t>5402491728</t>
  </si>
  <si>
    <t>ООО "НСК-Механизация"</t>
  </si>
  <si>
    <t>5405040160</t>
  </si>
  <si>
    <t>Чугуевский Павел Юрьевич</t>
  </si>
  <si>
    <t>542222858466</t>
  </si>
  <si>
    <t>630073, Новосибирская область, г Новосибирск, Геодезическая ул, д. 2/1, подв. б/н помещ. 30</t>
  </si>
  <si>
    <t>ОБЩЕСТВО С ОГРАНИЧЕННОЙ ОТВЕТСТВЕННОСТЬЮ "БИЗНЕС-СЕРВИС"</t>
  </si>
  <si>
    <t>ОБЩЕСТВО С ОГРАНИЧЕННОЙ ОТВЕТСТВЕННОСТЬЮ "НСК-МЕХАНИЗАЦИЯ"</t>
  </si>
  <si>
    <t>https://kad.arbitr.ru/Card/b993819f-fe50-49db-95b8-04f52c505ee2</t>
  </si>
  <si>
    <t>А40-35987/2024</t>
  </si>
  <si>
    <t>ИП Монахов Игорь Сергеевич</t>
  </si>
  <si>
    <t>771908810164</t>
  </si>
  <si>
    <t>ООО "Интекс"</t>
  </si>
  <si>
    <t>7725378547</t>
  </si>
  <si>
    <t>Крылова Елена Михайловна</t>
  </si>
  <si>
    <t>323300381890</t>
  </si>
  <si>
    <t>115280, город Москва, ул. Ленинская Слобода, д. 19, офис 41х1д</t>
  </si>
  <si>
    <t>Торговля розничная одеждой в специализированных магазинах (47.71)</t>
  </si>
  <si>
    <t>ОБЩЕСТВО С ОГРАНИЧЕННОЙ ОТВЕТСТВЕННОСТЬЮ "ИНТЕКС"</t>
  </si>
  <si>
    <t>taser.m@mail.ru_x000D_
dvor.2019@yandex.ru</t>
  </si>
  <si>
    <t>+79266339592_x000D_
+7 (904) 494-01-42</t>
  </si>
  <si>
    <t>https://kad.arbitr.ru/Card/ac413630-15b7-4ae5-aaeb-3689743a8eca</t>
  </si>
  <si>
    <t>А40-36173/2024</t>
  </si>
  <si>
    <t>ООО "Тинкер"</t>
  </si>
  <si>
    <t>9724075906</t>
  </si>
  <si>
    <t>ООО "Чистый Двор"</t>
  </si>
  <si>
    <t>7203444759</t>
  </si>
  <si>
    <t>625026, Тюменская область, г Тюмень, ул 50 Лет Влксм, д. 51, офис 512</t>
  </si>
  <si>
    <t>ОБЩЕСТВО С ОГРАНИЧЕННОЙ ОТВЕТСТВЕННОСТЬЮ "ТИНКЕР"</t>
  </si>
  <si>
    <t>ОБЩЕСТВО С ОГРАНИЧЕННОЙ ОТВЕТСТВЕННОСТЬЮ "ЧИСТЫЙ ДВОР"</t>
  </si>
  <si>
    <t>fgup18@yandex.ru_x000D_
c-s@v1a.ru_x000D_
18bux@mail.ru_x000D_
18cnif-fes@mil.ru_x000D_
18cnii-fes@mil.ru_x000D_
bux@mail.ru_x000D_
cnii-fes@mil.ru_x000D_
knii@kursktellekom.ru_x000D_
omto46@kursktelecom.ru_x000D_
shalimovalera@mail.ru</t>
  </si>
  <si>
    <t>+7 (495) 302-94-40_x000D_
+7 (4712) 58-80-90_x000D_
+7 (910) 270-03-70_x000D_
+7 (4712) 58-87-59_x000D_
+7 (4712) 58-80-55_x000D_
+7 (495) 303-43-95_x000D_
+7 (495) 302-94-14</t>
  </si>
  <si>
    <t>https://kad.arbitr.ru/Card/63656c6f-547a-45e3-bdb9-6b97f6d47ee9</t>
  </si>
  <si>
    <t>А40-35910/2024</t>
  </si>
  <si>
    <t>АО "Концерн "Созвездие"</t>
  </si>
  <si>
    <t>3666127502</t>
  </si>
  <si>
    <t>ФГУП "18 ЦНИИ" МО РФ</t>
  </si>
  <si>
    <t>7720090314</t>
  </si>
  <si>
    <t>Швыдя Олег Викторович</t>
  </si>
  <si>
    <t>772033573491</t>
  </si>
  <si>
    <t>111558, город Москва, Свободный пр-кт, д. 4</t>
  </si>
  <si>
    <t>АКЦИОНЕРНОЕ ОБЩЕСТВО "КОНЦЕРН "СОЗВЕЗДИЕ"</t>
  </si>
  <si>
    <t>ФЕДЕРАЛЬНОЕ ГОСУДАРСТВЕННОЕ УНИТАРНОЕ ПРЕДПРИЯТИЕ "18 ЦЕНТРАЛЬНЫЙ НАУЧНО-ИССЛЕДОВАТЕЛЬСКИЙ ИНСТИТУТ" МИНИСТЕРСТВА ОБОРОНЫ РОССИЙСКОЙ ФЕДЕРАЦИИ</t>
  </si>
  <si>
    <t>eko-holding@mail.ru_x000D_
bukhgalter1@eko-holding.com_x000D_
ecoholding1@gmail.com_x000D_
eko-holding@mai.ru_x000D_
eko5042341@gmail.com_x000D_
ekoholding1@gmail.com_x000D_
ekoholding@gmail.com_x000D_
info@k-agent.ru</t>
  </si>
  <si>
    <t>+7 (495) 123-45-67_x000D_
+7 (495) 504-23-41_x000D_
+7 (903) 180-70-00_x000D_
+7 (495) 640-16-79_x000D_
+7 (916) 136-22-67</t>
  </si>
  <si>
    <t>https://kad.arbitr.ru/Card/0aba6be1-1527-4cff-bee8-96b4e8b1cee5</t>
  </si>
  <si>
    <t>А40-35832/2024</t>
  </si>
  <si>
    <t>ООО "Эко Холдинг"</t>
  </si>
  <si>
    <t>5074036642</t>
  </si>
  <si>
    <t>Башмаков Виталий Николаевич</t>
  </si>
  <si>
    <t>775101365674</t>
  </si>
  <si>
    <t>115054, город Москва, Большая Пионерская ул, д. 15 стр. 1, помещ. 1/1</t>
  </si>
  <si>
    <t>ОБЩЕСТВО С ОГРАНИЧЕННОЙ ОТВЕТСТВЕННОСТЬЮ "ЭКО ХОЛДИНГ"</t>
  </si>
  <si>
    <t>info@nsgd.ru_x000D_
irina.kuleshova@nsgd.ru</t>
  </si>
  <si>
    <t>+7 (495) 643-10-22_x000D_
+7 (495) 545-37-36_x000D_
+7 (495) 643-10-22, доб 5277_x000D_
+7 (495) 643-10-22, доб 5401_x000D_
+7 (922) 462-14-87_x000D_
+7 (926) 912-06-78_x000D_
+7 (495) 643-10-16, доб 5067</t>
  </si>
  <si>
    <t>https://kad.arbitr.ru/Card/e0e22bc2-d3aa-4b05-bb2d-52be60810f0e</t>
  </si>
  <si>
    <t>А40-35918/2024</t>
  </si>
  <si>
    <t>ООО "НСГД"</t>
  </si>
  <si>
    <t>8903018853</t>
  </si>
  <si>
    <t>Гафаров Руслан Рафкатович</t>
  </si>
  <si>
    <t>503417787559</t>
  </si>
  <si>
    <t>119180, город Москва, ул. Малая Полянка, д. 2, пом II ком 36,37,38</t>
  </si>
  <si>
    <t>ОБЩЕСТВО С ОГРАНИЧЕННОЙ ОТВЕТСТВЕННОСТЬЮ "НАДЫМСТРОЙГАЗДОБЫЧА"</t>
  </si>
  <si>
    <t>postman@rosneft.ru_x000D_
a_dvornikov@rosneft.ru_x000D_
a_panov@rosneft.ru_x000D_
a_pashali@rosneft.ru_x000D_
a_yarimaka@rosneft.ru_x000D_
e_efimenko@rosneft.ru_x000D_
e_farafonov@rosneft.ru_x000D_
vumetrofanov@rosneft.ru_x000D_
i_kudryashova@rosneft.ru</t>
  </si>
  <si>
    <t>+7 (495) 777-44-22_x000D_
+7 (499) 517-88-88_x000D_
+7 (499) 517-72-35_x000D_
+7 (499) 517-88-99_x000D_
+7 (495) 777-44-00_x000D_
+7 (495) 777-44-77_x000D_
+7 (495) 777-45-64_x000D_
+7 (495) 777-77-31_x000D_
+7 (499) 517-82-21_x000D_
+7 (499) 517-88-89_x000D_
+7 (4862) 43-21-76_x000D_
+7 (3463) 31-01-50_x000D_
+7 (34936) 3-18-99_x000D_
+7 (34936) 5-12-72_x000D_
+7 (4217) 56-52-04_x000D_
+7 (495) 730-35-13_x000D_
+7 (499) 515-32-40_x000D_
+7 (818) 221-75-42_x000D_
+7 (818) 221-75-45_x000D_
+7 (8612) 01-67-81_x000D_
+7 (86558) 2-22-83_x000D_
+7 (962) 493-63-41_x000D_
+7 (495) 517-88-99_x000D_
+7 (499) 951-78-89, доб 9_x000D_
+7 (499) 514-88-99_x000D_
+7 (926) 007-17-09_x000D_
+7 (499) 517-86-53_x000D_
+7 (499) 514-40-94_x000D_
+7 (916) 713-44-00_x000D_
+7 (495) 239-88-00_x000D_
+7 (499) 517-81-09_x000D_
+7 (499) 517-82-12_x000D_
+7 (499) 518-88-88_x000D_
+7 (499) 517-88-11_x000D_
+7 (495) 748-64-24_x000D_
+7 (499) 513-31-36_x000D_
+7 (499) 517-80-80_x000D_
+7 (495) 777-45-57_x000D_
+7 (499) 513-53-54_x000D_
+7 (499) 777-44-22_x000D_
+7 (495) 230-29-45_x000D_
+7 (495) 777-46-01_x000D_
+7 (495) 980-59-00, доб 1165_x000D_
+7 (499) 517-86-34_x000D_
+7 (499) 517-88-59_x000D_
+7 (495) 411-05-04_x000D_
+7 (499) 517-88-65_x000D_
+7 (495) 987-30-60_x000D_
+7 (495) 777-44-22, доб 6_x000D_
8 (800) 500-11-00_x000D_
+7 (495) 517-88-88_x000D_
+7 (499) 517-88-88, доб 9655_x000D_
+7 (499) 517-88-88, доб 9429_x000D_
+7 (495) 212-05-68_x000D_
+7 (499) 555-55-55</t>
  </si>
  <si>
    <t>http://www.rosneft.ru/</t>
  </si>
  <si>
    <t>https://kad.arbitr.ru/Card/4423303e-6c22-47b5-8b15-805ebe54f7ea</t>
  </si>
  <si>
    <t>А40-35781/2024</t>
  </si>
  <si>
    <t>ГУП СО "Газовые Сети"</t>
  </si>
  <si>
    <t>6659106560</t>
  </si>
  <si>
    <t>ПАО "НК "Роснефть"</t>
  </si>
  <si>
    <t>7706107510</t>
  </si>
  <si>
    <t>Сечин Игорь Иванович</t>
  </si>
  <si>
    <t>770370393938</t>
  </si>
  <si>
    <t>115035, город Москва, Софийская наб., д.26/1</t>
  </si>
  <si>
    <t>Добыча нефти (06.10.1)</t>
  </si>
  <si>
    <t>ГОСУДАРСТВЕННОЕ УНИТАРНОЕ ПРЕДПРИЯТИЕ СВЕРДЛОВСКОЙ ОБЛАСТИ "ГАЗОВЫЕ СЕТИ"</t>
  </si>
  <si>
    <t>ПУБЛИЧНОЕ АКЦИОНЕРНОЕ ОБЩЕСТВО "НЕФТЯНАЯ КОМПАНИЯ "РОСНЕФТЬ"</t>
  </si>
  <si>
    <t>mail@tisenergo.ru_x000D_
mail@tienergo.ru</t>
  </si>
  <si>
    <t>+7 (495) 789-68-34_x000D_
+7 (495) 789-68-34, доб 7_x000D_
+7 (985) 767-90-75, доб 39_x000D_
+7 (495) 789-85-76</t>
  </si>
  <si>
    <t>https://kad.arbitr.ru/Card/63495461-704d-4feb-a52f-71f6443202a8</t>
  </si>
  <si>
    <t>А40-36179/2024</t>
  </si>
  <si>
    <t>ООО "Энергоальянс"</t>
  </si>
  <si>
    <t>2310122757</t>
  </si>
  <si>
    <t>ООО "ТИС-Энерго"</t>
  </si>
  <si>
    <t>7704774589</t>
  </si>
  <si>
    <t>Лукин Александр Андреевич</t>
  </si>
  <si>
    <t>502918849638</t>
  </si>
  <si>
    <t>123112, город Москва, Пресненская наб, д. 12, помещ. 10/45</t>
  </si>
  <si>
    <t>Производство электромонтажных работ (43.21)</t>
  </si>
  <si>
    <t>ОБЩЕСТВО С ОГРАНИЧЕННОЙ ОТВЕТСТВЕННОСТЬЮ "ЭНЕРГОАЛЬЯНС"</t>
  </si>
  <si>
    <t>ОБЩЕСТВО С ОГРАНИЧЕННОЙ ОТВЕТСТВЕННОСТЬЮ "ТЕЛЕМЕХАНИКА И СВЯЗЬ В ЭЛЕКТРОЭНЕРГЕТИКЕ"</t>
  </si>
  <si>
    <t>+7 (968) 604-47-93_x000D_
+7 (495) 662-94-93</t>
  </si>
  <si>
    <t>https://kad.arbitr.ru/Card/86217bc1-be9c-4545-800d-8a3a5d4b5a35</t>
  </si>
  <si>
    <t>А40-36185/2024</t>
  </si>
  <si>
    <t>ООО "ПИИ Лигато"</t>
  </si>
  <si>
    <t>1102049889</t>
  </si>
  <si>
    <t>ООО "Союз Проект"</t>
  </si>
  <si>
    <t>9702016696</t>
  </si>
  <si>
    <t>Демидов Николай Николаевич</t>
  </si>
  <si>
    <t>504404663942</t>
  </si>
  <si>
    <t>129110, город Москва, Орлово-Давыдовский пер., д. 1, э 1 п III ком 3 оф ф89</t>
  </si>
  <si>
    <t>Деятельность в области архитектуры (71.11)</t>
  </si>
  <si>
    <t>ОБЩЕСТВО С ОГРАНИЧЕННОЙ ОТВЕТСТВЕННОСТЬЮ "ПРОЕКТНО-ИЗЫСКАТЕЛЬСКИЙ ИНСТИТУТ ЛИНЕЙНЫХ ГАЗОТРАНСПОРТНЫХ ОБЪЕКТОВ"</t>
  </si>
  <si>
    <t>ОБЩЕСТВО С ОГРАНИЧЕННОЙ ОТВЕТСТВЕННОСТЬЮ "СОЮЗ ПРОЕКТ"</t>
  </si>
  <si>
    <t>+7 (928) 625-84-95</t>
  </si>
  <si>
    <t>https://kad.arbitr.ru/Card/f081325e-e2f7-489a-b3e7-404b7438d61e</t>
  </si>
  <si>
    <t>А40-35349/2024</t>
  </si>
  <si>
    <t>ООО "Артвайн"</t>
  </si>
  <si>
    <t>7704853745</t>
  </si>
  <si>
    <t>ООО "Победа61"</t>
  </si>
  <si>
    <t>6166119114</t>
  </si>
  <si>
    <t>Холопов Сергей Николаевич</t>
  </si>
  <si>
    <t>616205447308</t>
  </si>
  <si>
    <t>344065, Ростовская область, г Ростов-На-Дону, Орская ул, зд. 31 стр. 1</t>
  </si>
  <si>
    <t>Торговля розничная прочая в неспециализированных магазинах (47.19)</t>
  </si>
  <si>
    <t>ОБЩЕСТВО С ОГРАНИЧЕННОЙ ОТВЕТСТВЕННОСТЬЮ "АРТВАЙН"</t>
  </si>
  <si>
    <t>ОБЩЕСТВО С ОГРАНИЧЕННОЙ ОТВЕТСТВЕННОСТЬЮ "ПОБЕДА61"</t>
  </si>
  <si>
    <t>zbpo36@gmail.com</t>
  </si>
  <si>
    <t>+7 (499) 144-98-08_x000D_
+7 (499) 144-97-82</t>
  </si>
  <si>
    <t>https://kad.arbitr.ru/Card/7c442fe1-9213-4fb7-8003-c6c00e2facf8</t>
  </si>
  <si>
    <t>А40-36216/2024</t>
  </si>
  <si>
    <t>ООО НПКК "М &amp; к"</t>
  </si>
  <si>
    <t>7730030219</t>
  </si>
  <si>
    <t>Коломийцев Владимир Андреевич</t>
  </si>
  <si>
    <t>500101746180</t>
  </si>
  <si>
    <t>121293, город Москва, пл. Победы, д.1 к.б</t>
  </si>
  <si>
    <t>Техническое обслуживание и ремонт автотранспортных средств (45.2)</t>
  </si>
  <si>
    <t>ОБЩЕСТВО С ОГРАНИЧЕННОЙ ОТВЕТСТВЕННОСТЬЮ НАУЧНО-ПРОИЗВОДСТВЕННАЯ КОММЕРЧЕСКАЯ КОМПАНИЯ "М &amp; К"</t>
  </si>
  <si>
    <t>https://kad.arbitr.ru/Card/b0c9a0f2-bafb-486d-bb73-b7952f8af4e3</t>
  </si>
  <si>
    <t>А40-36199/2024</t>
  </si>
  <si>
    <t>ООО"Группа Полимертепло"</t>
  </si>
  <si>
    <t>7706163360</t>
  </si>
  <si>
    <t>ООО "Инженерные Решения"</t>
  </si>
  <si>
    <t>2312293170</t>
  </si>
  <si>
    <t>Семкин Александр Сергеевич</t>
  </si>
  <si>
    <t>231294310721</t>
  </si>
  <si>
    <t>350059, Краснодарский край, город Краснодар, Уральская ул., д. 85, офис 7</t>
  </si>
  <si>
    <t>Торговля оптовая прочими потребительскими товарами, не включенными в другие группировки (46.49.49)</t>
  </si>
  <si>
    <t>ОБЩЕСТВО С ОГРАНИЧЕННОЙ ОТВЕТСТВЕННОСТЬЮ"ГРУППА ПОЛИМЕРТЕПЛО"</t>
  </si>
  <si>
    <t>ОБЩЕСТВО С ОГРАНИЧЕННОЙ ОТВЕТСТВЕННОСТЬЮ "ИНЖЕНЕРНЫЕ РЕШЕНИЯ"</t>
  </si>
  <si>
    <t>iho@fkp-uskx.ru_x000D_
dfo3@mil.ru</t>
  </si>
  <si>
    <t>+7 (495) 696-16-50_x000D_
+7 (4752) 70-07-00_x000D_
+7 (4212) 45-43-74_x000D_
+7 (4212) 45-43-80_x000D_
+7 (495) 987-01-01_x000D_
+7 (978) 007-47-38_x000D_
+7 (495) 696-01-91_x000D_
+7 (495) 696-77-24_x000D_
+7 (926) 360-63-63_x000D_
+7 (495) 696-01-90_x000D_
+7 (495) 540-94-70_x000D_
+7 (495) 696-07-04_x000D_
+7 (495) 877-55-67_x000D_
+7 (495) 877-55-55</t>
  </si>
  <si>
    <t>https://kad.arbitr.ru/Card/f2bdc4cf-b1aa-4e82-a704-3ff5b43375b8</t>
  </si>
  <si>
    <t>А40-35183/2024</t>
  </si>
  <si>
    <t>МКП ВГО "Вилючинский Водоканал"</t>
  </si>
  <si>
    <t>4102012468</t>
  </si>
  <si>
    <t>ФКП "Управление Заказчика КС Минобороны России"</t>
  </si>
  <si>
    <t>7704684769</t>
  </si>
  <si>
    <t>Дьяков Александр Павлович</t>
  </si>
  <si>
    <t>032356697404</t>
  </si>
  <si>
    <t>119019, город Москва, Большой Знаменский пер., д.8 к.3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</si>
  <si>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 (71.12.1)</t>
  </si>
  <si>
    <t>МУНИЦИПАЛЬНОЕ КАЗЕННОЕ ПРЕДПРИЯТИЕ ВИЛЮЧИНСКОГО ГОРОДСКОГО ОКРУГА "ВИЛЮЧИНСКИЙ ВОДОКАНАЛ"</t>
  </si>
  <si>
    <t>ФЕДЕРАЛЬНОЕ КАЗЕННОЕ ПРЕДПРИЯТИЕ "УПРАВЛЕНИЕ ЗАКАЗЧИКА КАПИТАЛЬНОГО СТРОИТЕЛЬСТВА МИНИСТЕРСТВА ОБОРОНЫ РОССИЙСКОЙ ФЕДЕРАЦИИ"</t>
  </si>
  <si>
    <t>anna.kosolapova@wayray.com_x000D_
ekaterina@wayray.com_x000D_
marsel.khusiainov@wayray.com</t>
  </si>
  <si>
    <t>https://kad.arbitr.ru/Card/a6623f16-2338-4853-ac0b-2f1160a038ce</t>
  </si>
  <si>
    <t>А40-35135/2024</t>
  </si>
  <si>
    <t>ИП Ольховая Юлия Викторовна</t>
  </si>
  <si>
    <t>504706387632</t>
  </si>
  <si>
    <t>ООО "Вэйрэй"</t>
  </si>
  <si>
    <t>7718936720</t>
  </si>
  <si>
    <t>Пономарев Виталий Андреевич</t>
  </si>
  <si>
    <t>772580217643</t>
  </si>
  <si>
    <t>129085, город Москва, ул Годовикова, д. 9 стр. 1</t>
  </si>
  <si>
    <t>ОБЩЕСТВО С ОГРАНИЧЕННОЙ ОТВЕТСТВЕННОСТЬЮ "ВЭЙРЭЙ"</t>
  </si>
  <si>
    <t>https://kad.arbitr.ru/Card/6d44e531-b537-4088-a514-e3680698cf21</t>
  </si>
  <si>
    <t>А40-35193/2024</t>
  </si>
  <si>
    <t>ООО "Новоморснаб"</t>
  </si>
  <si>
    <t>2315098530</t>
  </si>
  <si>
    <t>ОБЩЕСТВО С ОГРАНИЧЕННОЙ ОТВЕТСТВЕННОСТЬЮ "НОВОМОРСНАБ"</t>
  </si>
  <si>
    <t>https://kad.arbitr.ru/Card/27919108-83b9-474e-be7c-6638a043ffbd</t>
  </si>
  <si>
    <t>А40-35120/2024</t>
  </si>
  <si>
    <t>ПАО Сбербанк</t>
  </si>
  <si>
    <t>7707083893</t>
  </si>
  <si>
    <t>ООО "Брандтрейд"</t>
  </si>
  <si>
    <t>7720395556</t>
  </si>
  <si>
    <t>Бекшаев Артем Александрович</t>
  </si>
  <si>
    <t>660502225690</t>
  </si>
  <si>
    <t>111558, город Москва, Федеративный пр-кт, д. 48 к. 1, помещ. 1/1</t>
  </si>
  <si>
    <t>Торговля розничная скобяными изделиями, лакокрасочными материалами и стеклом в специализированных магазинах (47.52)</t>
  </si>
  <si>
    <t>ПУБЛИЧНОЕ АКЦИОНЕРНОЕ ОБЩЕСТВО "СБЕРБАНК РОССИИ"</t>
  </si>
  <si>
    <t>ОБЩЕСТВО С ОГРАНИЧЕННОЙ ОТВЕТСТВЕННОСТЬЮ "БРАНДТРЕЙД"</t>
  </si>
  <si>
    <t>https://kad.arbitr.ru/Card/fd2fd5be-191a-4744-b2b9-db163a2a45bd</t>
  </si>
  <si>
    <t>А40-36970/2024</t>
  </si>
  <si>
    <t>ООО "РСТ"</t>
  </si>
  <si>
    <t>7709900999</t>
  </si>
  <si>
    <t>ОБЩЕСТВО С ОГРАНИЧЕННОЙ ОТВЕТСТВЕННОСТЬЮ "РЭЙЛСПЕЦТРАНС"</t>
  </si>
  <si>
    <t>https://kad.arbitr.ru/Card/8abe762b-7524-406d-b83b-e481cc103bae</t>
  </si>
  <si>
    <t>А40-36968/2024</t>
  </si>
  <si>
    <t>ПАО "МОЭК"</t>
  </si>
  <si>
    <t>7720518494</t>
  </si>
  <si>
    <t>ПУБЛИЧНОЕ АКЦИОНЕРНОЕ ОБЩЕСТВО "МОСКОВСКАЯ ОБЪЕДИНЕННАЯ ЭНЕРГЕТИЧЕСКАЯ КОМПАНИЯ"</t>
  </si>
  <si>
    <t>info@stroysistema.su</t>
  </si>
  <si>
    <t>+7 (499) 611-83-76_x000D_
+7 (909) 151-01-62_x000D_
+7 (909) 166-04-77_x000D_
+7 (929) 566-84-51</t>
  </si>
  <si>
    <t>http://forsdoors.ru/</t>
  </si>
  <si>
    <t>https://kad.arbitr.ru/Card/f9c0227d-b56a-425f-92b7-0676601d2b18</t>
  </si>
  <si>
    <t>А40-36924/2024</t>
  </si>
  <si>
    <t>ООО "Управление Строительства"</t>
  </si>
  <si>
    <t>9102238513</t>
  </si>
  <si>
    <t>ООО "Строй Система"</t>
  </si>
  <si>
    <t>7704485097</t>
  </si>
  <si>
    <t>Орлов Денис Владиславович</t>
  </si>
  <si>
    <t>505020561367</t>
  </si>
  <si>
    <t>111123, город Москва, Электродный проезд, д. 8а, этаж 2 ком. 4, офис 6</t>
  </si>
  <si>
    <t>ОБЩЕСТВО С ОГРАНИЧЕННОЙ ОТВЕТСТВЕННОСТЬЮ "УПРАВЛЕНИЕ СТРОИТЕЛЬСТВА"</t>
  </si>
  <si>
    <t>ОБЩЕСТВО С ОГРАНИЧЕННОЙ ОТВЕТСТВЕННОСТЬЮ "СТРОЙ СИСТЕМА"</t>
  </si>
  <si>
    <t>buh13@stk-retail.ru_x000D_
buh5@stk-retail.ru_x000D_
infosk@yandex.ru_x000D_
major@stk-retail.ru</t>
  </si>
  <si>
    <t>+7 (495) 221-66-72_x000D_
+7 (495) 221-66-71_x000D_
+7 (495) 935-73-27</t>
  </si>
  <si>
    <t>https://kad.arbitr.ru/Card/8f69d56f-0fdc-42bf-877b-7b360d72e23d</t>
  </si>
  <si>
    <t>А40-36923/2024</t>
  </si>
  <si>
    <t>ООО "Академия Света"</t>
  </si>
  <si>
    <t>7729752594</t>
  </si>
  <si>
    <t>ООО "СТК"</t>
  </si>
  <si>
    <t>7704245521</t>
  </si>
  <si>
    <t>Черникова Яна Валерьевна</t>
  </si>
  <si>
    <t>614311226064</t>
  </si>
  <si>
    <t>121108, город Москва, Кутузовский пр-кт, д. 48</t>
  </si>
  <si>
    <t>Торговля розничная преимущественно пищевыми продуктами, включая напитки, и табачными изделиями в неспециализированных магазинах (47.11)</t>
  </si>
  <si>
    <t>ОБЩЕСТВО С ОГРАНИЧЕННОЙ ОТВЕТСТВЕННОСТЬЮ "АКАДЕМИЯ СВЕТА"</t>
  </si>
  <si>
    <t>ОБЩЕСТВО С ОГРАНИЧЕННОЙ ОТВЕТСТВЕННОСТЬЮ "СТОЛИЧНАЯ ТОРГОВАЯ КОМПАНИЯ"</t>
  </si>
  <si>
    <t>a.sidorina@metrostroy.com_x000D_
e.nikishina@metrostroy.com_x000D_
e.nikisina@metrostroy.com_x000D_
romanuk@metrostroy.com</t>
  </si>
  <si>
    <t>+7 (495) 625-90-91</t>
  </si>
  <si>
    <t>https://kad.arbitr.ru/Card/c7d2dd38-eccd-4f13-8b18-0436f5d9d471</t>
  </si>
  <si>
    <t>А40-36949/2024</t>
  </si>
  <si>
    <t>ООО ТД "ХКА"</t>
  </si>
  <si>
    <t>6658515472</t>
  </si>
  <si>
    <t>АО "ТСК"</t>
  </si>
  <si>
    <t>7702661082</t>
  </si>
  <si>
    <t>Осипов Сергей Николаевич</t>
  </si>
  <si>
    <t>781406356987</t>
  </si>
  <si>
    <t>127051, город Москва, Цветной б-р, д. 17, ком. 20</t>
  </si>
  <si>
    <t>Торговля оптовая металлами и металлическими рудами (46.72)</t>
  </si>
  <si>
    <t>ОБЩЕСТВО С ОГРАНИЧЕННОЙ ОТВЕТСТВЕННОСТЬЮ ТОРГОВЫЙ ДОМ "ХКА"</t>
  </si>
  <si>
    <t>АКЦИОНЕРНОЕ ОБЩЕСТВО "ТОННЕЛЬСТРОЙКОМПЛЕКТ"</t>
  </si>
  <si>
    <t>burylova@msk.vtb.ru_x000D_
adm@oms.vtb.ru_x000D_
belgyv@bel.vtb.ru_x000D_
blaeog@bla.vtb.ru_x000D_
dmitrievaev@vtb.ru_x000D_
info@szrc.vtb.ru_x000D_
info@vtb.ru_x000D_
kra53641@irk.vtb.ru_x000D_
postoffice@spbpost.ru_x000D_
ruzavina@msk.vtb.ru_x000D_
tvermain@tve.vtb.ru_x000D_
vgd40251@vgd.vtb.ru_x000D_
vtb24@mail.ru_x000D_
vtb@bel.vtb.ru_x000D_
vtb@tula.net_x000D_
chiiav@chita.vtb.ru_x000D_
loginov@west-ter.ru_x000D_
psv@vtb.ru_x000D_
sale@tds-spb.com_x000D_
uudpes@ulanude.vtb.ru</t>
  </si>
  <si>
    <t>+7 (3012) 41-54-15_x000D_
+7 (3812) 94-83-95_x000D_
+7 (416) 222-31-03_x000D_
+7 (4822) 77-70-67_x000D_
+7 (4872) 36-00-25_x000D_
+7 (8362) 45-04-03_x000D_
+7 (8442) 93-09-69_x000D_
+7 (495) 258-46-01_x000D_
+7 (3852) 39-91-61_x000D_
+7 (495) 123-45-67_x000D_
+7 (3452) 39-62-00_x000D_
+7 (3912) 70-77-00_x000D_
+7 (3912) 70-77-07_x000D_
+7 (3912) 70-77-36_x000D_
+7 (4722) 58-02-00_x000D_
+7 (4722) 58-02-01_x000D_
+7 (4852) 45-88-99_x000D_
+7 (495) 737-65-17_x000D_
+7 (495) 739-77-99_x000D_
+7 (495) 980-46-66_x000D_
+7 (812) 324-11-28_x000D_
+7 (812) 329-83-62_x000D_
+7 (812) 571-61-83_x000D_
+7 (8422) 41-62-06_x000D_
+7 (920) 068-88-14_x000D_
+7 (984) 212-98-00, доб 81_x000D_
+7 (342) 237-77-88_x000D_
+7 (343) 379-66-95_x000D_
+7 (3852) 39-91-64_x000D_
+7 (3952) 24-17-80_x000D_
+7 (4012) 35-01-11_x000D_
+7 (4112) 35-50-17_x000D_
+7 (413) 260-73-34_x000D_
+7 (4212) 41-36-01_x000D_
+7 (4242) 72-28-58_x000D_
+7 (4732) 53-19-26_x000D_
+7 (4812) 49-96-66_x000D_
+7 (4832) 66-05-05_x000D_
+7 (4842) 56-50-85_x000D_
+7 (4912) 24-80-00_x000D_
+7 (4922) 32-09-70_x000D_
+7 (4942) 31-76-46_x000D_
+7 (8112) 72-25-76_x000D_
+7 (812) 329-83-81_x000D_
+7 (812) 494-94-54_x000D_
+7 (8172) 72-81-18_x000D_
+7 (8172) 72-81-95_x000D_
+7 (83142) 8-04-38_x000D_
+7 (8412) 52-03-53_x000D_
+7 (8452) 48-98-28_x000D_
+7 (863) 297-27-28_x000D_
+7 (8652) 26-17-54_x000D_
+7 (953) 515-77-99_x000D_
+7 (985) 762-58-41_x000D_
8 (800) 100-24-24_x000D_
8 (800) 200-77-99_x000D_
+7 (4712) 36-05-00_x000D_
+7 (4922) 44-34-10_x000D_
+7 (833) 265-09-66_x000D_
+7 (83142) 8-18-01_x000D_
+7 (812) 710-49-61_x000D_
+7 (812) 324-11-27_x000D_
+7 (3822) 56-40-58_x000D_
+7 (4732) 53-32-99_x000D_
+7 (416) 222-31-27_x000D_
+7 (416) 222-34-10_x000D_
+7 (3022) 36-90-02_x000D_
+7 (812) 320-07-75_x000D_
+7 (8142) 76-20-36_x000D_
+7 (8452) 48-98-38_x000D_
+7 (8612) 79-57-17_x000D_
+7 (3952) 24-16-72_x000D_
+7 (343) 383-35-82_x000D_
+7 (416) 222-34-10, доб 4162_x000D_
+7 (3012) 28-57-07_x000D_
+7 (3012) 55-99-06_x000D_
+7 (343) 359-17-55_x000D_
+7 (343) 379-66-02_x000D_
+7 (343) 386-26-27_x000D_
+7 (3532) 68-49-92_x000D_
+7 (35372) 7-17-18_x000D_
+7 (35372) 7-17-20_x000D_
+7 (3812) 94-82-21_x000D_
+7 (383) 202-10-02_x000D_
+7 (383) 206-08-50_x000D_
+7 (383) 210-08-69_x000D_
+7 (3912) 25-60-82, доб 2_x000D_
+7 (3912) 26-68-80, доб 1_x000D_
+7 (4012) 35-01-80_x000D_
+7 (4112) 36-73-00_x000D_
+7 (416) 222-31-68_x000D_
+7 (416) 253-61-04_x000D_
+7 (4212) 70-33-57_x000D_
+7 (4242) 46-22-42_x000D_
+7 (4712) 36-05-25_x000D_
+7 (4732) 61-86-04_x000D_
+7 (4752) 47-22-48_x000D_
+7 (4752) 63-20-41_x000D_
+7 (4752) 71-96-39_x000D_
+7 (4812) 49-96-01</t>
  </si>
  <si>
    <t>http://www.vtb.ru/_x000D_
https://www.vtbcareer.com/</t>
  </si>
  <si>
    <t>https://kad.arbitr.ru/Card/74b15f1c-78da-4f76-8786-12d5c4d82383</t>
  </si>
  <si>
    <t>А40-36866/2024</t>
  </si>
  <si>
    <t>ИП Афанасьева Анна Владимировна</t>
  </si>
  <si>
    <t>760406906523</t>
  </si>
  <si>
    <t>Банк ВТБ (ПАО)</t>
  </si>
  <si>
    <t>7702070139</t>
  </si>
  <si>
    <t>Костин Андрей Леонидович</t>
  </si>
  <si>
    <t>770300172004</t>
  </si>
  <si>
    <t>191144, город Санкт-Петербург, Дегтярный пер., д. 11 литер а</t>
  </si>
  <si>
    <t>Денежное посредничество прочее (64.19)</t>
  </si>
  <si>
    <t>БАНК ВТБ (ПУБЛИЧНОЕ АКЦИОНЕРНОЕ ОБЩЕСТВО)</t>
  </si>
  <si>
    <t>https://kad.arbitr.ru/Card/b657ea48-eb1d-4ce5-aa0c-a3c85edf14c8</t>
  </si>
  <si>
    <t>А40-36882/2024</t>
  </si>
  <si>
    <t>ИП Бурля Александр Павлович</t>
  </si>
  <si>
    <t>504015023202</t>
  </si>
  <si>
    <t>Бурля Александр Павлович</t>
  </si>
  <si>
    <t xml:space="preserve">   город Москва, город Зеленоград  </t>
  </si>
  <si>
    <t>Деятельность прочего сухопутного пассажирского транспорта, не включенная в другие группировки (49.39)</t>
  </si>
  <si>
    <t>https://kad.arbitr.ru/Card/bd895ce5-1aad-4028-9df2-70e4b44bb734</t>
  </si>
  <si>
    <t>А40-36748/2024</t>
  </si>
  <si>
    <t>ООО "Старт Продакшн"</t>
  </si>
  <si>
    <t>7730235752</t>
  </si>
  <si>
    <t>ИП Рустамян Давид Арменович</t>
  </si>
  <si>
    <t>231906623360</t>
  </si>
  <si>
    <t>Рустамян Давид Арменович</t>
  </si>
  <si>
    <t>121151, Россия, г Москва, г. Москва, ул. Можайский вал, д. 8 корпус С, кв. ЭТАЖ 3</t>
  </si>
  <si>
    <t>Торговля розничная прочая вне магазинов, палаток, рынков (47.99)</t>
  </si>
  <si>
    <t>ОБЩЕСТВО С ОГРАНИЧЕННОЙ ОТВЕТСТВЕННОСТЬЮ "СТАРТ ПРОДАКШН"</t>
  </si>
  <si>
    <t>office@uacrussia.ru_x000D_
n.mironova@uacrussia.ru_x000D_
s.rashidova@uacrusia.ru_x000D_
a.medvedeva@uacrussia.ru_x000D_
fominyh.oak@mail.ru_x000D_
info@uak.ru_x000D_
j.sokha@uacrussia.ru_x000D_
l.mitrofanova@uacrussia.ru_x000D_
o.khovanskaya@uacrussia.ru</t>
  </si>
  <si>
    <t>+7 (495) 926-14-20_x000D_
+7 (495) 926-14-20, доб 8474_x000D_
+7 (495) 777-21-01_x000D_
+7 (495) 920-14-80_x000D_
+7 (495) 926-14-20, доб 8173_x000D_
+7 (495) 926-14-20, доб 8626_x000D_
+7 (495) 926-14-20, доб 8644_x000D_
+7 (916) 355-69-73_x000D_
+7 (495) 926-14-20, доб 8709_x000D_
+7 (495) 987-20-72_x000D_
+7 (495) 926-14-20, доб 8672_x000D_
+7 (495) 941-75-48_x000D_
+7 (49663) 5-91-08_x000D_
+7 (831) 242-39-47_x000D_
+7 (499) 653-51-99_x000D_
+7 (495) 926-14-21_x000D_
+7 (383) 279-30-28_x000D_
+7 (831) 242-37-99_x000D_
+7 (383) 278-85-01_x000D_
+7 (985) 765-25-25_x000D_
+7 (831) 242-36-03_x000D_
+7 (831) 242-33-04</t>
  </si>
  <si>
    <t>http://www.e-disclosure.ru/portal/company.aspx?id=11433_x000D_
http://www.uacrussia.ru/</t>
  </si>
  <si>
    <t>https://kad.arbitr.ru/Card/9c6e16b3-2aae-4d87-acc9-7c64bf8a96a5</t>
  </si>
  <si>
    <t>А40-36780/2024</t>
  </si>
  <si>
    <t>ПАО "Одк-УМПО"</t>
  </si>
  <si>
    <t>0273008320</t>
  </si>
  <si>
    <t>ПАО "ОАК"</t>
  </si>
  <si>
    <t>7708619320</t>
  </si>
  <si>
    <t>Слюсарь Юрий Борисович</t>
  </si>
  <si>
    <t>772903675989</t>
  </si>
  <si>
    <t>115054, город Москва, Большая Пионерская ул., д. 1</t>
  </si>
  <si>
    <t>Производство самолетов (30.30.32)</t>
  </si>
  <si>
    <t>ПУБЛИЧНОЕ АКЦИОНЕРНОЕ ОБЩЕСТВО "ОДК-УФИМСКОЕ МОТОРОСТРОИТЕЛЬНОЕ ПРОИЗВОДСТВЕННОЕ ОБЪЕДИНЕНИЕ"</t>
  </si>
  <si>
    <t>ПУБЛИЧНОЕ АКЦИОНЕРНОЕ ОБЩЕСТВО "ОБЪЕДИНЕННАЯ АВИАСТРОИТЕЛЬНАЯ КОРПОРАЦИЯ"</t>
  </si>
  <si>
    <t>info@npc-r.ru</t>
  </si>
  <si>
    <t>+7 (495) 109-25-45_x000D_
+7 (965) 277-33-51</t>
  </si>
  <si>
    <t>https://kad.arbitr.ru/Card/f566be38-38b7-4f3d-bbd3-336e429a5643</t>
  </si>
  <si>
    <t>А40-36743/2024</t>
  </si>
  <si>
    <t>ООО "НПЦ "Развитие"</t>
  </si>
  <si>
    <t>9701083315</t>
  </si>
  <si>
    <t>Шуховцев Илья Владимирович</t>
  </si>
  <si>
    <t>772603479648</t>
  </si>
  <si>
    <t>107078, город Москва, пер Орликов, д. 5 стр. 2, этаж 05 помещ. 04-05</t>
  </si>
  <si>
    <t>Торговля оптовая неспециализированная (46.90)</t>
  </si>
  <si>
    <t>ОБЩЕСТВО С ОГРАНИЧЕННОЙ ОТВЕТСТВЕННОСТЬЮ "НАУЧНО-ПРОИЗВОДСТВЕННЫЙ ЦЕНТР "РАЗВИТИЕ"</t>
  </si>
  <si>
    <t>https://kad.arbitr.ru/Card/a1d51584-dc64-4ac9-a5c4-a1f3af8da2e2</t>
  </si>
  <si>
    <t>А40-36667/2024</t>
  </si>
  <si>
    <t>ИП Игнаков Михаил Сергеевич</t>
  </si>
  <si>
    <t>332912229871</t>
  </si>
  <si>
    <t>ООО "СТИ"</t>
  </si>
  <si>
    <t>7726464020</t>
  </si>
  <si>
    <t>Колосова Юлия Николаевна</t>
  </si>
  <si>
    <t>401900726239</t>
  </si>
  <si>
    <t>121471, город Москва, Рябиновая ул, д. 26 стр. 2, помещ 4</t>
  </si>
  <si>
    <t>ОБЩЕСТВО С ОГРАНИЧЕННОЙ ОТВЕТСТВЕННОСТЬЮ "СТРОИТЕЛЬСТВО ТРАНСПОРТНОЙ ИНФРАСТРУКТУРЫ"</t>
  </si>
  <si>
    <t>https://kad.arbitr.ru/Card/b966aeae-5d0c-430a-adc0-594867b18712</t>
  </si>
  <si>
    <t>А40-36538/2024</t>
  </si>
  <si>
    <t>ООО "Зерноторг26"</t>
  </si>
  <si>
    <t>2635215203</t>
  </si>
  <si>
    <t>ОБЩЕСТВО С ОГРАНИЧЕННОЙ ОТВЕТСТВЕННОСТЬЮ "ЗЕРНОТОРГ26"</t>
  </si>
  <si>
    <t>maximum.apteka@yandex.ru_x000D_
maksimum11@mail.ru</t>
  </si>
  <si>
    <t>+7 (8212) 57-03-39_x000D_
+7 (912) 962-38-90_x000D_
+7 (8212) 31-11-11_x000D_
+7 (8212) 57-04-41</t>
  </si>
  <si>
    <t>https://kad.arbitr.ru/Card/6fa34aeb-c64b-43f4-95a2-8781233825ca</t>
  </si>
  <si>
    <t>А40-36565/2024</t>
  </si>
  <si>
    <t>ООО "Поток.Диджитал"</t>
  </si>
  <si>
    <t>9701046627</t>
  </si>
  <si>
    <t>ООО "Максимум"</t>
  </si>
  <si>
    <t>1121025749</t>
  </si>
  <si>
    <t>Меньшиков Максим Михайлович</t>
  </si>
  <si>
    <t>111501044232</t>
  </si>
  <si>
    <t>167000, Республика Коми, город Сыктывкар, Интернациональная ул., д. 157, этаж 1</t>
  </si>
  <si>
    <t>Торговля розничная лекарственными средствами в специализированных магазинах (аптеках) (47.73)</t>
  </si>
  <si>
    <t>ОБЩЕСТВО С ОГРАНИЧЕННОЙ ОТВЕТСТВЕННОСТЬЮ "ПОТОК.ДИДЖИТАЛ"</t>
  </si>
  <si>
    <t>ОБЩЕСТВО С ОГРАНИЧЕННОЙ ОТВЕТСТВЕННОСТЬЮ "МАКСИМУМ"</t>
  </si>
  <si>
    <t>pr@minfin.ru</t>
  </si>
  <si>
    <t>+7 (495) 642-43-10_x000D_
+7 (495) 913-44-93_x000D_
+7 (495) 925-17-50_x000D_
+7 (495) 938-83-88_x000D_
+7 (495) 983-38-88</t>
  </si>
  <si>
    <t>http://ivanyanandpartners.ru/_x000D_
http://minfin.ru/_x000D_
http://mtarenda.ru/_x000D_
http://oecdru.org/</t>
  </si>
  <si>
    <t>https://kad.arbitr.ru/Card/9d53dcb5-9e9c-4351-9f90-f60b48f9a15c</t>
  </si>
  <si>
    <t>А40-36497/2024</t>
  </si>
  <si>
    <t>ООО "МК Инвест"</t>
  </si>
  <si>
    <t>7721715128</t>
  </si>
  <si>
    <t>Минфин России</t>
  </si>
  <si>
    <t>7710168360</t>
  </si>
  <si>
    <t>Силуанов Антон Германович</t>
  </si>
  <si>
    <t>109097, город Москва, ул Ильинка, д. 9 стр. 1</t>
  </si>
  <si>
    <t>Управление финансовой деятельностью и деятельностью в сфере налогообложения (84.11.4)</t>
  </si>
  <si>
    <t>ОБЩЕСТВО С ОГРАНИЧЕННОЙ ОТВЕТСТВЕННОСТЬЮ "МК ИНВЕСТ"</t>
  </si>
  <si>
    <t>МИНИСТЕРСТВО ФИНАНСОВ РОССИЙСКОЙ ФЕДЕРАЦИИ</t>
  </si>
  <si>
    <t>https://kad.arbitr.ru/Card/7026cfdd-0323-44d3-8e36-2e74e6744e14</t>
  </si>
  <si>
    <t>А40-36527/2024</t>
  </si>
  <si>
    <t>ИП Рыбак Марина Леонидовна</t>
  </si>
  <si>
    <t>773400324231</t>
  </si>
  <si>
    <t>Рыбак Марина Леонидовна</t>
  </si>
  <si>
    <t>109052, Россия, г Москва, г. Москва, ул. Смирновская, д. 10 строение 22</t>
  </si>
  <si>
    <t>zaomfsbuh@mail.ru_x000D_
aomfs@yandex.ru_x000D_
bank.gis@mail.ru_x000D_
peomfs@bk.ru_x000D_
zaomfs@ya.ru_x000D_
zaomfs@yandex.ru_x000D_
zao.mfs@mail.ru</t>
  </si>
  <si>
    <t>+7 (495) 234-59-02</t>
  </si>
  <si>
    <t>https://kad.arbitr.ru/Card/dba8f55b-9ba1-4f82-b127-b33d1d15f570</t>
  </si>
  <si>
    <t>А40-36485/2024</t>
  </si>
  <si>
    <t>ООО "Атлант-Жби Комплектация"</t>
  </si>
  <si>
    <t>5029211236</t>
  </si>
  <si>
    <t>АО "МФС"</t>
  </si>
  <si>
    <t>7714266785</t>
  </si>
  <si>
    <t>Рогачев Денис Викторович</t>
  </si>
  <si>
    <t>643911044419</t>
  </si>
  <si>
    <t>107113, город Москва, ул Лобачика, д. 17</t>
  </si>
  <si>
    <t>ОБЩЕСТВО С ОГРАНИЧЕННОЙ ОТВЕТСТВЕННОСТЬЮ "АТЛАНТ-ЖБИ КОМПЛЕКТАЦИЯ"</t>
  </si>
  <si>
    <t>АКЦИОНЕРНОЕ ОБЩЕСТВО "МОНОЛИТ-ФУНДАМЕНТСТРОЙ"</t>
  </si>
  <si>
    <t>andreevama@ca.customs.ru_x000D_
gusevsa@ca.customs.ru_x000D_
kotelnikovaev@ca.customs.ru_x000D_
kulinichip@ca.customs.ru_x000D_
paskony@ca.customs.ru</t>
  </si>
  <si>
    <t>+7 (863) 251-66-18_x000D_
+7 (499) 449-83-83_x000D_
+7 (499) 449-81-50_x000D_
+7 (863) 253-74-59_x000D_
+7 (499) 449-76-75</t>
  </si>
  <si>
    <t>https://kad.arbitr.ru/Card/79ec5ffc-8812-4586-b3b3-6499a0a4f61a</t>
  </si>
  <si>
    <t>А40-36378/2024</t>
  </si>
  <si>
    <t>ООО "РЭД"</t>
  </si>
  <si>
    <t>7713491474</t>
  </si>
  <si>
    <t>Федеральная Таможенная Служба</t>
  </si>
  <si>
    <t>7730176610</t>
  </si>
  <si>
    <t>Давыдов Руслан Валентинович</t>
  </si>
  <si>
    <t>121087, город Москва, Новозаводская ул., д.11/5</t>
  </si>
  <si>
    <t>ОБЩЕСТВО С ОГРАНИЧЕННОЙ ОТВЕТСТВЕННОСТЬЮ "РЭД"</t>
  </si>
  <si>
    <t>ФЕДЕРАЛЬНАЯ ТАМОЖЕННАЯ СЛУЖБА</t>
  </si>
  <si>
    <t>tender@miluris.ru</t>
  </si>
  <si>
    <t>+7 (495) 981-54-36_x000D_
+7 (495) 981-54-33_x000D_
+7 (913) 817-35-78</t>
  </si>
  <si>
    <t>https://kad.arbitr.ru/Card/a5650e69-4c1f-44d7-bf38-17a9e71a04e1</t>
  </si>
  <si>
    <t>А40-36387/2024</t>
  </si>
  <si>
    <t>ООО "Сура-Пак"</t>
  </si>
  <si>
    <t>5835040475</t>
  </si>
  <si>
    <t>ООО "Милур ИС"</t>
  </si>
  <si>
    <t>7735180786</t>
  </si>
  <si>
    <t>Баев Виктор Владимирович</t>
  </si>
  <si>
    <t>772643746628</t>
  </si>
  <si>
    <t>124498, город Москва, город Зеленоград, Георгиевский пр-кт, д. 5, ком. эт.5, пом.I, комн.57</t>
  </si>
  <si>
    <t>Производство инструментов и приборов для измерения, тестирования и навигации (26.51)</t>
  </si>
  <si>
    <t>ОБЩЕСТВО С ОГРАНИЧЕННОЙ ОТВЕТСТВЕННОСТЬЮ "СУРА-ПАК"</t>
  </si>
  <si>
    <t>ОБЩЕСТВО С ОГРАНИЧЕННОЙ ОТВЕТСТВЕННОСТЬЮ "МИЛУР ИНТЕЛЛЕКТУАЛЬНЫЕ СИСТЕМЫ"</t>
  </si>
  <si>
    <t>petunkina_ta@baikalinvestbank.ru</t>
  </si>
  <si>
    <t>+7 (499) 968-94-23_x000D_
+7 (3952) 20-09-91_x000D_
+7 (950) 065-54-27_x000D_
+7 (3952) 72-80-86_x000D_
+7 (3955) 52-25-66_x000D_
+7 (3955) 52-61-94_x000D_
+7 (499) 963-07-06_x000D_
+7 (3952) 25-88-00</t>
  </si>
  <si>
    <t>https://kad.arbitr.ru/Card/5a48a8ba-c20f-43e9-95c2-9abfd0c86be6</t>
  </si>
  <si>
    <t>А40-36339/2024</t>
  </si>
  <si>
    <t>ООО "Сервисстрой"</t>
  </si>
  <si>
    <t>8602256808</t>
  </si>
  <si>
    <t>АО "Реалист Банк"</t>
  </si>
  <si>
    <t>3801002781</t>
  </si>
  <si>
    <t>Эльманин Владимир Сергеевич</t>
  </si>
  <si>
    <t>391401432693</t>
  </si>
  <si>
    <t>109004, город Москва, ул. Станиславского, д. 4 стр. 1</t>
  </si>
  <si>
    <t>ОБЩЕСТВО С ОГРАНИЧЕННОЙ ОТВЕТСТВЕННОСТЬЮ "СЕРВИССТРОЙ"</t>
  </si>
  <si>
    <t>АКЦИОНЕРНОЕ ОБЩЕСТВО "РЕАЛИСТ БАНК"</t>
  </si>
  <si>
    <t>https://kad.arbitr.ru/Card/257189cb-587f-46f1-80f0-3b83bb88592e</t>
  </si>
  <si>
    <t>А40-36301/2024</t>
  </si>
  <si>
    <t>АО "ТД ССГ"</t>
  </si>
  <si>
    <t>5047245767</t>
  </si>
  <si>
    <t>ООО "ВЛ Строй"</t>
  </si>
  <si>
    <t>1001228850</t>
  </si>
  <si>
    <t>Лукьяненко Алексей Викторович</t>
  </si>
  <si>
    <t>100102400089</t>
  </si>
  <si>
    <t>191144, город Санкт-Петербург, Новгородская ул, д. 14 литера А, помещ. 17-н офис 310\2</t>
  </si>
  <si>
    <t>АКЦИОНЕРНОЕ ОБЩЕСТВО "ТОРГОВЫЙ ДОМ СПЕЦСТРОЙГРУПП"</t>
  </si>
  <si>
    <t>ОБЩЕСТВО С ОГРАНИЧЕННОЙ ОТВЕТСТВЕННОСТЬЮ "ВЛ СТРОЙ"</t>
  </si>
  <si>
    <t>https://kad.arbitr.ru/Card/c39bad01-f808-417f-99f8-eaa73ee3a1e0</t>
  </si>
  <si>
    <t>А40-36334/2024</t>
  </si>
  <si>
    <t>АО ВТБ Лизинг</t>
  </si>
  <si>
    <t>7709378229</t>
  </si>
  <si>
    <t>ИП Русакова Светлана Сергеевна</t>
  </si>
  <si>
    <t>722409811300</t>
  </si>
  <si>
    <t>Русакова Светлана Сергеевна</t>
  </si>
  <si>
    <t xml:space="preserve">   Тюменская область, Тюменский район, село Успенка  </t>
  </si>
  <si>
    <t>ВТБ ЛИЗИНГ (АКЦИОНЕРНОЕ ОБЩЕСТВО)</t>
  </si>
  <si>
    <t>+7 (994) 011-61-67_x000D_
+7 (914) 677-93-34</t>
  </si>
  <si>
    <t>https://kad.arbitr.ru/Card/82e7de8e-f174-40f7-9507-cb360315a573</t>
  </si>
  <si>
    <t>А40-36229/2024</t>
  </si>
  <si>
    <t>ООО "Профстройгрупп"</t>
  </si>
  <si>
    <t>2540223140</t>
  </si>
  <si>
    <t>Ильина Клавдия Николаевна</t>
  </si>
  <si>
    <t>253604281533</t>
  </si>
  <si>
    <t>690014, Приморский край, г Владивосток, пр-кт Красного Знамени, д. 66, этаж 9 офис 912</t>
  </si>
  <si>
    <t>Деятельность агентов по оптовой торговле строительными материалами (46.13.2)</t>
  </si>
  <si>
    <t>ОБЩЕСТВО С ОГРАНИЧЕННОЙ ОТВЕТСТВЕННОСТЬЮ "ПРОФСТРОЙГРУПП"</t>
  </si>
  <si>
    <t>mto-fssp@inboxl.ru_x000D_
enpotemkin@rosatom.ru_x000D_
bugaeva@r77.fssprus.ru_x000D_
osp22@r77.fssprus.ru</t>
  </si>
  <si>
    <t>+7 (499) 270-59-33_x000D_
+7 (495) 276-00-10_x000D_
+7 (499) 949-48-16_x000D_
+7 (499) 558-04-02_x000D_
8 (800) 250-39-32_x000D_
+7 (495) 981-67-54_x000D_
+7 (499) 558-03-42_x000D_
+7 (499) 583-04-61</t>
  </si>
  <si>
    <t>http://fssprus.ru/functions/_x000D_
http://r77.fssprus.ru/</t>
  </si>
  <si>
    <t>ГУФССП России по Г. Москве</t>
  </si>
  <si>
    <t>7704270863</t>
  </si>
  <si>
    <t>Коновалов Николай Викторович</t>
  </si>
  <si>
    <t>235701051945</t>
  </si>
  <si>
    <t>105094, город Москва, Гольяновская ул, д. 4а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</si>
  <si>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 (84.11.11)</t>
  </si>
  <si>
    <t>ГЛАВНОЕ УПРАВЛЕНИЕ ФЕДЕРАЛЬНОЙ СЛУЖБЫ СУДЕБНЫХ ПРИСТАВОВ ПО Г. МОСКВЕ</t>
  </si>
  <si>
    <t>ИП Меньшиков Максим Михайлович</t>
  </si>
  <si>
    <t xml:space="preserve">   Республика Коми, город Сыктывкар  </t>
  </si>
  <si>
    <t>Торговля оптовая изделиями, применяемыми в медицинских целях (46.46.2)</t>
  </si>
  <si>
    <t>111398, Россия, г Москва, г. Москва, ул. Кусковская, д. 16, комната 2</t>
  </si>
  <si>
    <t>Перовский РОСП ГУФССП России по г. Москве</t>
  </si>
  <si>
    <t>463252617950</t>
  </si>
  <si>
    <t>Бабичев Никита Сергеевич</t>
  </si>
  <si>
    <t>ИП Протасов Денис Николаевич</t>
  </si>
  <si>
    <t>502910587349</t>
  </si>
  <si>
    <t>Протасов Денис Николаевич</t>
  </si>
  <si>
    <t>Розничная торговля лесоматериалами (52.46.71)</t>
  </si>
  <si>
    <t>https://kad.arbitr.ru/Card/aa927202-965c-42bd-842b-d3fd9848a505</t>
  </si>
  <si>
    <t>А40-36274/2024</t>
  </si>
  <si>
    <t>ООО "Евротехклимат"</t>
  </si>
  <si>
    <t>7743921452</t>
  </si>
  <si>
    <t>АНО "ФЦ БАС"</t>
  </si>
  <si>
    <t>7720893343</t>
  </si>
  <si>
    <t>Рузский Олег Леонидович</t>
  </si>
  <si>
    <t>111675, город Москва, Пехорская ул, д. 1г стр. 5, этаж 1 ком. 8</t>
  </si>
  <si>
    <t>ОБЩЕСТВО С ОГРАНИЧЕННОЙ ОТВЕТСТВЕННОСТЬЮ "ЕВРОТЕХКЛИМАТ"</t>
  </si>
  <si>
    <t>АВТОНОМНАЯ НЕКОММЕРЧЕСКАЯ ОРГАНИЗАЦИЯ "ФЕДЕРАЛЬНЫЙ ЦЕНТР БЕСПИЛОТНЫХ АВИАЦИОННЫХ СИСТЕМ"</t>
  </si>
  <si>
    <t>+7 (985) 924-50-10</t>
  </si>
  <si>
    <t>https://kad.arbitr.ru/Card/d61b977f-0b6e-4aec-84f7-44328d3417c3</t>
  </si>
  <si>
    <t>А40-36231/2024</t>
  </si>
  <si>
    <t>ООО " Поинтлайн "</t>
  </si>
  <si>
    <t>7719817651</t>
  </si>
  <si>
    <t>ООО "Мирарт Лифт"</t>
  </si>
  <si>
    <t>7702417278</t>
  </si>
  <si>
    <t>Мириджанян Гайк Гагикович</t>
  </si>
  <si>
    <t>772579282782</t>
  </si>
  <si>
    <t>129344, город Москва, ул Лётчика Бабушкина, д. 1 к. 1 стр. 3</t>
  </si>
  <si>
    <t>Производство лифтов, скриповых подъемников, эскалаторов и движущихся пешеходных дорожек (28.22.6)</t>
  </si>
  <si>
    <t>ОБЩЕСТВО С ОГРАНИЧЕННОЙ ОТВЕТСТВЕННОСТЬЮ "ПОИНТЛАЙН"</t>
  </si>
  <si>
    <t>ОБЩЕСТВО С ОГРАНИЧЕННОЙ ОТВЕТСТВЕННОСТЬЮ "МИРАРТ ЛИФТ"</t>
  </si>
  <si>
    <t>Ходатайства Ходатайство о приобщении к делу дополнительных документов</t>
  </si>
  <si>
    <t>https://kad.arbitr.ru/Card/e989f17e-182e-441a-a7f3-c3c2b7fd0346</t>
  </si>
  <si>
    <t>А40-36101/2024</t>
  </si>
  <si>
    <t>АО "ЖЭУК "Заречная"</t>
  </si>
  <si>
    <t>1215113126</t>
  </si>
  <si>
    <t>ИП Галкина Екатерина Валерьевна</t>
  </si>
  <si>
    <t>121512938171</t>
  </si>
  <si>
    <t>Галкина Екатерина Валерьевна</t>
  </si>
  <si>
    <t>424032, Россия, Республика Марий эл, г. Йошкар-ола, ул. Мира, д. 61</t>
  </si>
  <si>
    <t>АКЦИОНЕРНОЕ ОБЩЕСТВО "ЖИЛИЩНО-ЭКСПЛУАТАЦИОННАЯ УПРАВЛЯЮЩАЯ КОМПАНИЯ "ЗАРЕЧНАЯ"</t>
  </si>
  <si>
    <t>sales@wildberries.ru</t>
  </si>
  <si>
    <t>+7 (495) 775-55-05</t>
  </si>
  <si>
    <t>http://wildberries.ru/</t>
  </si>
  <si>
    <t>https://kad.arbitr.ru/Card/3c27261b-f6e8-4d1d-93c5-dc376290749a</t>
  </si>
  <si>
    <t>А41-14704/2024</t>
  </si>
  <si>
    <t>ООО "Домашний Заготовщик"</t>
  </si>
  <si>
    <t>4345507857</t>
  </si>
  <si>
    <t>ООО "Вайлдберриз"</t>
  </si>
  <si>
    <t>7721546864</t>
  </si>
  <si>
    <t>Бакальчук Татьяна Владимировна</t>
  </si>
  <si>
    <t>507203757508</t>
  </si>
  <si>
    <t>142181, Московская область, д Коледино, тер. Индустриальный Парк Коледино, д. 6 стр. 1</t>
  </si>
  <si>
    <t>АС Московской области</t>
  </si>
  <si>
    <t>Торговля розничная, осуществляемая непосредственно при помощи информационно-коммуникационной сети Интернет (47.91.2)</t>
  </si>
  <si>
    <t>ОБЩЕСТВО С ОГРАНИЧЕННОЙ ОТВЕТСТВЕННОСТЬЮ "ДОМАШНИЙ ЗАГОТОВЩИК"</t>
  </si>
  <si>
    <t>ОБЩЕСТВО С ОГРАНИЧЕННОЙ ОТВЕТСТВЕННОСТЬЮ "ВАЙЛДБЕРРИЗ"</t>
  </si>
  <si>
    <t>https://kad.arbitr.ru/Card/6b4e3626-0822-4000-855c-ea40b7026bcc</t>
  </si>
  <si>
    <t>А41-14705/2024</t>
  </si>
  <si>
    <t>ООО "КСМ"</t>
  </si>
  <si>
    <t>2631039074</t>
  </si>
  <si>
    <t>ОБЩЕСТВО С ОГРАНИЧЕННОЙ ОТВЕТСТВЕННОСТЬЮ "КСМ"</t>
  </si>
  <si>
    <t>optimaengineering@yandex.ru</t>
  </si>
  <si>
    <t>https://kad.arbitr.ru/Card/cd3afcc9-fc1b-449d-b0e2-c78479d9fd81</t>
  </si>
  <si>
    <t>А40-35978/2024</t>
  </si>
  <si>
    <t>ООО "Электростарт"</t>
  </si>
  <si>
    <t>5036098951</t>
  </si>
  <si>
    <t>ООО "Оптима Инжиниринг"</t>
  </si>
  <si>
    <t>9722002525</t>
  </si>
  <si>
    <t>Хасанова Рамиля Дамировна</t>
  </si>
  <si>
    <t>121519401587</t>
  </si>
  <si>
    <t>109316, город Москва, ул Талалихина, д. 41 стр. 9, эт/помещ. 4/IX ком. 16б</t>
  </si>
  <si>
    <t>Производство подъемно-транспортного оборудования (28.22)</t>
  </si>
  <si>
    <t>ОБЩЕСТВО С ОГРАНИЧЕННОЙ ОТВЕТСТВЕННОСТЬЮ "ЭЛЕКТРОСТАРТ"</t>
  </si>
  <si>
    <t>ОБЩЕСТВО С ОГРАНИЧЕННОЙ ОТВЕТСТВЕННОСТЬЮ "ОПТИМА ИНЖИНИРИНГ"</t>
  </si>
  <si>
    <t>info@sberins.ru_x000D_
anton.netrebenko@sberins.ru_x000D_
aleksandr.medvedev@sberins.ru_x000D_
dpopo@yandex.ru_x000D_
elena.berezkina@sberins.ru_x000D_
ks@sberins.ru_x000D_
larisa.savinova@sberins.ru_x000D_
viktoriya.mironova@sberins.ru_x000D_
zakupki@sberins.ru</t>
  </si>
  <si>
    <t>+7 (495) 139-21-29_x000D_
+7 (916) 610-81-16_x000D_
+7 (985) 643-65-45_x000D_
+7 (967) 221-78-76_x000D_
+7 (495) 139-21-29, доб 2481_x000D_
+7 (915) 121-00-21_x000D_
+7 (977) 583-91-88_x000D_
+7 (495) 139-21-99_x000D_
+7 (495) 139-21-29, доб 2532_x000D_
+7 (926) 779-12-19_x000D_
+7 (495) 139-21-29, доб 2536_x000D_
+7 (495) 139-21-29, доб 2312_x000D_
+7 (495) 500-55-50_x000D_
+7 (495) 131-24-31_x000D_
8 (800) 555-55-57_x000D_
+7 (495) 641-00-84</t>
  </si>
  <si>
    <t>https://kad.arbitr.ru/Card/035ed38c-d2ce-42f7-b05b-b249ddfb806a</t>
  </si>
  <si>
    <t>А40-35935/2024</t>
  </si>
  <si>
    <t>ООО "Арсенал Плюс"</t>
  </si>
  <si>
    <t>7725766966</t>
  </si>
  <si>
    <t>ООО СК "Сбербанк Страхование"</t>
  </si>
  <si>
    <t>7706810747</t>
  </si>
  <si>
    <t>121170, город Москва, Поклонная ул., д. 3 к. 1, эт,пом 1,3</t>
  </si>
  <si>
    <t>Страхование имущества (65.12.2)</t>
  </si>
  <si>
    <t>ОБЩЕСТВО С ОГРАНИЧЕННОЙ ОТВЕТСТВЕННОСТЬЮ "АРСЕНАЛ ПЛЮС"</t>
  </si>
  <si>
    <t>ОБЩЕСТВО С ОГРАНИЧЕННОЙ ОТВЕТСТВЕННОСТЬЮ СТРАХОВАЯ КОМПАНИЯ "СБЕРБАНК СТРАХОВАНИЕ"</t>
  </si>
  <si>
    <t>info@uralsteel.com_x000D_
zakupki.uk255@yandex.ru_x000D_
uralstell@yandex.ru_x000D_
ggfuhyu@mail.ru_x000D_
hgjg@bdh.ru_x000D_
jgjgmjvj@dk.ru_x000D_
metallural@bk.ru_x000D_
morozova@uralsteel.com_x000D_
ons-sentr@mail.ru_x000D_
s.karpov@uralsteel.com_x000D_
s.morozova@uralsteel.com_x000D_
ur-steel@yandex.ru</t>
  </si>
  <si>
    <t>+7 (3537) 66-20-75_x000D_
+7 (3537) 66-21-53_x000D_
+7 (3537) 66-22-58_x000D_
+7 (3537) 66-28-11_x000D_
+7 (903) 365-14-55_x000D_
+7 (3537) 66-20-77_x000D_
+7 (343) 361-28-19_x000D_
+7 (3537) 63-14-45_x000D_
+7 (3537) 65-98-27_x000D_
+7 (3537) 66-21-47_x000D_
+7 (3537) 66-22-59_x000D_
+7 (83532) 6-62-07, доб 5_x000D_
+7 (3537) 66-22-12_x000D_
+7 (3537) 46-23-52_x000D_
+7 (3537) 66-22-80_x000D_
+7 (3537) 66-24-98_x000D_
+7 (3537) 66-27-89_x000D_
+7 (3537) 66-61-02_x000D_
+7 (3537) 66-66-01_x000D_
+7 (3537) 65-70-26_x000D_
+7 (83537) 6-20-01, доб 4_x000D_
+7 (3537) 77-77-01, доб 542_x000D_
+7 (3537) 77-77-01_x000D_
+7 (3532) 99-88-55_x000D_
+7 (3537) 65-70-09_x000D_
+7 (3537) 77-77-01, доб 543_x000D_
+7 (3537) 65-70-20_x000D_
+7 (8793) 35-37-62, доб 077_x000D_
+7 (3537) 66-20-90</t>
  </si>
  <si>
    <t>http://www.metalloinvest.com/our-business/steel-segment/264_x000D_
http://uralsteel.com/</t>
  </si>
  <si>
    <t>https://kad.arbitr.ru/Card/b2f53df6-e092-4697-aa25-c99b135fc52b</t>
  </si>
  <si>
    <t>А41-14709/2024</t>
  </si>
  <si>
    <t>АО "Уральская Сталь"</t>
  </si>
  <si>
    <t>5607019523</t>
  </si>
  <si>
    <t>462353, Оренбургская область, город Новотроицк, Заводская ул., д.1</t>
  </si>
  <si>
    <t>Производство чугуна, стали и ферросплавов (24.10)</t>
  </si>
  <si>
    <t>АКЦИОНЕРНОЕ ОБЩЕСТВО "УРАЛЬСКАЯ СТАЛЬ"</t>
  </si>
  <si>
    <t>https://kad.arbitr.ru/Card/f4bb8bce-a7c0-43de-b571-91260a7880cb</t>
  </si>
  <si>
    <t>А41-14708/2024</t>
  </si>
  <si>
    <t>mstroy_info@mail.ru_x000D_
zpt2007@mail.ru</t>
  </si>
  <si>
    <t>+7 (985) 354-08-08</t>
  </si>
  <si>
    <t>https://kad.arbitr.ru/Card/a17d25fa-4c65-4497-908d-f1043ce25d5e</t>
  </si>
  <si>
    <t>А41-14711/2024</t>
  </si>
  <si>
    <t>ООО "СМТ-Строй"</t>
  </si>
  <si>
    <t>5027281502</t>
  </si>
  <si>
    <t>ООО "Мультистрой"</t>
  </si>
  <si>
    <t>7719405760</t>
  </si>
  <si>
    <t>Цатурян Арутюн Оганесович</t>
  </si>
  <si>
    <t>772774837572</t>
  </si>
  <si>
    <t>119071, город Москва, Ленинский пр-кт, д. 24, помещ. IV ком. 16</t>
  </si>
  <si>
    <t>ОБЩЕСТВО С ОГРАНИЧЕННОЙ ОТВЕТСТВЕННОСТЬЮ "СМТ-СТРОЙ"</t>
  </si>
  <si>
    <t>ОБЩЕСТВО С ОГРАНИЧЕННОЙ ОТВЕТСТВЕННОСТЬЮ "МУЛЬТИСТРОЙ"</t>
  </si>
  <si>
    <t>info@pkstroi.com_x000D_
pk_stroy@bk.ru</t>
  </si>
  <si>
    <t>https://kad.arbitr.ru/Card/3b2f5c2a-dd6e-44cc-9563-37460d62e45d</t>
  </si>
  <si>
    <t>А40-35455/2024</t>
  </si>
  <si>
    <t>ООО "Электронные Системы"</t>
  </si>
  <si>
    <t>5038105040</t>
  </si>
  <si>
    <t>ООО "ПК Строй"</t>
  </si>
  <si>
    <t>5048058640</t>
  </si>
  <si>
    <t>Егиян Яна Сергеевна</t>
  </si>
  <si>
    <t>504808334100</t>
  </si>
  <si>
    <t>115280, город Москва, 1-Й Автозаводский проезд, д. 4 к. 1, помещ. 1т</t>
  </si>
  <si>
    <t>ОБЩЕСТВО С ОГРАНИЧЕННОЙ ОТВЕТСТВЕННОСТЬЮ "ЭЛЕКТРОННЫЕ СИСТЕМЫ"</t>
  </si>
  <si>
    <t>ОБЩЕСТВО С ОГРАНИЧЕННОЙ ОТВЕТСТВЕННОСТЬЮ "ПК СТРОЙ"</t>
  </si>
  <si>
    <t>+7 (495) 431-29-72</t>
  </si>
  <si>
    <t>https://kad.arbitr.ru/Card/4f4a8ad3-99c8-49d2-ba6d-f85301781f3e</t>
  </si>
  <si>
    <t>А40-35547/2024</t>
  </si>
  <si>
    <t>Госинспекция по Недвижимости</t>
  </si>
  <si>
    <t>7701679961</t>
  </si>
  <si>
    <t>ООО "Регнатис"</t>
  </si>
  <si>
    <t>7729038125</t>
  </si>
  <si>
    <t>Ахметшин Олег Михайлович</t>
  </si>
  <si>
    <t>773116547585</t>
  </si>
  <si>
    <t>121614, город Москва, ул. Крылатские Холмы, д. 27 к. 3, кв. 416</t>
  </si>
  <si>
    <t>ГОСУДАРСТВЕННАЯ ИНСПЕКЦИЯ ПО КОНТРОЛЮ ЗА ИСПОЛЬЗОВАНИЕМ ОБЪЕКТОВ НЕДВИЖИМОСТИ ГОРОДА МОСКВЫ</t>
  </si>
  <si>
    <t>ОБЩЕСТВО С ОГРАНИЧЕННОЙ ОТВЕТСТВЕННОСТЬЮ "РЕГИОНАЛЬНЫЙ ЦЕНТР НАУЧНО-ТЕХНИЧЕСКИХ ИССЛЕДОВАНИЙ"</t>
  </si>
  <si>
    <t>https://kad.arbitr.ru/Card/81e3f241-c9d6-48d6-a9bc-6e1ae8dbda61</t>
  </si>
  <si>
    <t>А40-35397/2024</t>
  </si>
  <si>
    <t>АО "Киностудия им. М. Горького"</t>
  </si>
  <si>
    <t>7717149198</t>
  </si>
  <si>
    <t>ООО "Проектный Институт Москапстрой"</t>
  </si>
  <si>
    <t>9723057340</t>
  </si>
  <si>
    <t>123056, город Москва, 2-Я Брестская ул, д. 5, помещ. 1/1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</si>
  <si>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 (71.12)</t>
  </si>
  <si>
    <t>АКЦИОНЕРНОЕ ОБЩЕСТВО "КИНОСТУДИЯ ДЕТСКИХ И ЮНОШЕСКИХ ФИЛЬМОВ ИМ. М. ГОРЬКОГО"</t>
  </si>
  <si>
    <t>ОБЩЕСТВО С ОГРАНИЧЕННОЙ ОТВЕТСТВЕННОСТЬЮ "ПРОЕКТНЫЙ ИНСТИТУТ МОСКАПСТРОЙ"</t>
  </si>
  <si>
    <t>peo-torgi@mail.ru_x000D_
soyuz@fcdt.ru_x000D_
tender@fc-souyz.ry_x000D_
bnsoyuz@mail.ru_x000D_
tender@fcdt.ru_x000D_
fcdt@monnet.ru_x000D_
toomp@inbox.ru</t>
  </si>
  <si>
    <t>+7 (495) 551-76-00_x000D_
+7 (495) 551-11-44_x000D_
+7 (495) 551-73-83_x000D_
+7 (495) 551-20-09_x000D_
+7 (495) 551-78-36_x000D_
+7 (495) 551-01-44_x000D_
+7 (495) 551-03-72_x000D_
+7 (495) 551-70-35_x000D_
+7 (495) 551-72-07_x000D_
+7 (495) 551-75-06_x000D_
+7 (495) 551-73-59_x000D_
+7 (495) 551-74-44_x000D_
+7 (495) 551-20-11_x000D_
+7 (495) 551-78-50_x000D_
+7 (495) 551-72-00</t>
  </si>
  <si>
    <t>http://www.fcdt.ru/</t>
  </si>
  <si>
    <t>https://kad.arbitr.ru/Card/eafb286b-ee9d-4e17-b09a-3bead96c6d7c</t>
  </si>
  <si>
    <t>А41-14712/2024</t>
  </si>
  <si>
    <t>ФГУП "Охрана" Росгвардии</t>
  </si>
  <si>
    <t>7719555477</t>
  </si>
  <si>
    <t>ФГУП "ФЦДТ "Союз"</t>
  </si>
  <si>
    <t>5027030450</t>
  </si>
  <si>
    <t>Милехин Юрий Михайлович</t>
  </si>
  <si>
    <t>140090, Московская область, город Дзержинский, ул. Академика Жукова, д. 42</t>
  </si>
  <si>
    <t>Производство оружия и боеприпасов (25.40)</t>
  </si>
  <si>
    <t>ФЕДЕРАЛЬНОЕ ГОСУДАРСТВЕННОЕ УНИТАРНОЕ ПРЕДПРИЯТИЕ "ОХРАНА" ФЕДЕРАЛЬНОЙ СЛУЖБЫ ВОЙСК НАЦИОНАЛЬНОЙ ГВАРДИИ РОССИЙСКОЙ ФЕДЕРАЦИИ</t>
  </si>
  <si>
    <t>ФЕДЕРАЛЬНОЕ ГОСУДАРСТВЕННОЕ УНИТАРНОЕ ПРЕДПРИЯТИЕ "ФЕДЕРАЛЬНЫЙ ЦЕНТР ДВОЙНЫХ ТЕХНОЛОГИЙ "СОЮЗ"</t>
  </si>
  <si>
    <t>hamina.tanya@yandex.ru_x000D_
raya83@mail.ru_x000D_
info@antyapi.ru_x000D_
r.chelioglo@antyapi.ru</t>
  </si>
  <si>
    <t>+7 (495) 941-61-64_x000D_
+7 (495) 941-61-65</t>
  </si>
  <si>
    <t>http://www.antyapi.com.tr/</t>
  </si>
  <si>
    <t>https://kad.arbitr.ru/Card/994d82e5-3689-40d7-a132-c1c8edc607b5</t>
  </si>
  <si>
    <t>А40-35436/2024</t>
  </si>
  <si>
    <t>ООО "Ант Япы"</t>
  </si>
  <si>
    <t>7709602209</t>
  </si>
  <si>
    <t>Акай Генджай</t>
  </si>
  <si>
    <t>770372655473</t>
  </si>
  <si>
    <t>121087, город Москва, Береговой пр-д, д. 5а к. 1, эт 6 пом III</t>
  </si>
  <si>
    <t>ОБЩЕСТВО С ОГРАНИЧЕННОЙ ОТВЕТСТВЕННОСТЬЮ "АНТ ЯПЫ"</t>
  </si>
  <si>
    <t>kirilovakv@mosoblenergo.ru_x000D_
mail@mosobllenergo.ru_x000D_
voskresensk@mosoblenergo.ru</t>
  </si>
  <si>
    <t>+7 (495) 111-11-11_x000D_
+7 (495) 550-60-47_x000D_
+7 (495) 571-02-26_x000D_
+7 (495) 660-70-45_x000D_
+7 (495) 780-39-62_x000D_
+7 (49646) 7-73-19_x000D_
+7 (4967) 69-98-75_x000D_
+7 (495) 780-00-54_x000D_
+7 (495) 575-75-44_x000D_
+7 (495) 590-38-05_x000D_
+7 (495) 950-83-54_x000D_
+7 (495) 987-18-31_x000D_
+7 (49644) 2-36-84_x000D_
+7 (49645) 2-33-60_x000D_
+7 (49646) 7-73-75_x000D_
+7 (498) 602-13-13_x000D_
+7 (498) 602-27-28_x000D_
+7 (498) 676-05-32_x000D_
+7 (916) 162-26-23_x000D_
+7 (963) 726-87-30_x000D_
+7 (495) 780-39-62, доб 2031_x000D_
+7 (495) 780-39-62, доб 1121_x000D_
+7 (495) 780-39-62, доб 1120_x000D_
+7 (495) 651-92-35_x000D_
+7 (495) 123-45-67_x000D_
+7 (495) 547-74-50_x000D_
+7 (495) 562-32-53_x000D_
+7 (49657) 5-90-69_x000D_
+7 (4966) 12-52-00_x000D_
+7 (495) 586-70-07_x000D_
+7 (49679) 4-30-32_x000D_
+7 (495) 308-82-11_x000D_
+7 (49646) 9-42-30_x000D_
+7 (499) 705-90-10_x000D_
+7 (49656) 6-94-93_x000D_
+7 (498) 562-32-53_x000D_
+7 (495) 949-67-69_x000D_
+7 (49654) 0-21-37_x000D_
+7 (49654) 7-77-35_x000D_
+7 (495) 780-39-22_x000D_
+7 (495) 609-80-33_x000D_
+7 (49656) 2-11-77_x000D_
+7 (495) 597-38-53_x000D_
+7 (49643) 5-93-45_x000D_
+7 (495) 586-81-55_x000D_
+7 (49644) 1-15-31_x000D_
+7 (495) 566-94-93_x000D_
+7 (495) 780-30-30_x000D_
+7 (495) 586-15-89, доб 35_x000D_
+7 (495) 995-00-99_x000D_
+7 (49634) 3-15-09_x000D_
+7 (903) 773-23-00_x000D_
+7 (4967) 79-43-03, доб 2_x000D_
+7 (49657) 4-47-50_x000D_
+7 (916) 725-41-18_x000D_
+7 (49643) 5-93-88_x000D_
+7 (495) 571-23-70_x000D_
+7 (495) 722-14-48_x000D_
+7 (49672) 2-14-48_x000D_
+7 (49656) 4-15-27_x000D_
+7 (499) 777-77-77_x000D_
+7 (495) 780-39-60_x000D_
+7 (495) 586-45-79_x000D_
+7 (496) 551-51-14_x000D_
+7 (49654) 7-74-50_x000D_
+7 (495) 785-00-00, доб 1085_x000D_
+7 (4967) 35-19-09_x000D_
+7 (49640) 4-50-70_x000D_
+7 (49646) 4-67-73, доб 19_x000D_
+7 (49644) 2-03-03_x000D_
+7 (926) 904-56-14_x000D_
+7 (495) 541-50-74_x000D_
+7 (49644) 2-31-21_x000D_
+7 (495) 123-65-45_x000D_
+7 (495) 785-00-00_x000D_
+7 (495) 593-18-94_x000D_
+7 (495) 582-13-00_x000D_
+7 (495) 550-20-38_x000D_
+7 (486) 442-21-35_x000D_
+7 (495) 662-40-70_x000D_
+7 (49645) 3-03-21_x000D_
+7 (49656) 9-50-50_x000D_
+7 (4966) 14-43-94_x000D_
+7 (498) 595-56-60_x000D_
+7 (495) 597-27-05_x000D_
+7 (495) 732-41-14_x000D_
+7 (495) 576-23-28_x000D_
+7 (495) 557-45-01_x000D_
+7 (495) 593-72-61_x000D_
+7 (4967) 70-51-35_x000D_
+7 (49664) 2-58-11_x000D_
+7 (495) 562-01-58_x000D_
+7 (49644) 2-21-35_x000D_
+7 (49634) 3-15-99_x000D_
+7 (49644) 2-58-37_x000D_
+7 (495) 575-90-69_x000D_
+7 (495) 503-64-96_x000D_
+7 (495) 593-47-60_x000D_
+7 (49624) 5-80-24_x000D_
+7 (499) 647-72-96</t>
  </si>
  <si>
    <t>https://www.mosoblenergo.ru/</t>
  </si>
  <si>
    <t>https://kad.arbitr.ru/Card/cdea0e95-0c3d-4a11-a506-0833a2d6a0ca</t>
  </si>
  <si>
    <t>А41-14713/2024</t>
  </si>
  <si>
    <t>АО "Мособлэнерго"</t>
  </si>
  <si>
    <t>5032137342</t>
  </si>
  <si>
    <t>Бойко Владимир Александрович</t>
  </si>
  <si>
    <t>616842760045</t>
  </si>
  <si>
    <t>143421, Московская область, автодорога Балтия, тер 26 Км Бизнес-Центр Рига-Ленд, стр. б 3 подъезд 3 этаж 7, помещ. 2 ком. 1</t>
  </si>
  <si>
    <t>Передача электроэнергии и технологическое присоединение к распределительным электросетям (35.12)</t>
  </si>
  <si>
    <t>АКЦИОНЕРНОЕ ОБЩЕСТВО "МОСКОВСКАЯ ОБЛАСТНАЯ ЭНЕРГОСЕТЕВАЯ КОМПАНИЯ"</t>
  </si>
  <si>
    <t>s.zhuravel@mnirti.ru_x000D_
astra@mnirti.ru_x000D_
kozak@mnirti.ru</t>
  </si>
  <si>
    <t>+7 (495) 917-09-90_x000D_
+7 (495) 626-23-13_x000D_
+7 (495) 626-23-64_x000D_
+7 (495) 626-24-44_x000D_
+7 (495) 628-78-96_x000D_
+7 (495) 632-23-13_x000D_
+7 (495) 626-29-82_x000D_
+7 (495) 626-23-51_x000D_
+7 (495) 626-23-44_x000D_
+7 (495) 626-23-44, доб 4515</t>
  </si>
  <si>
    <t>https://kad.arbitr.ru/Card/4293f55a-c742-4051-b2a8-1d6e5580d5ab</t>
  </si>
  <si>
    <t>А40-35265/2024</t>
  </si>
  <si>
    <t>АО "Мнирти"</t>
  </si>
  <si>
    <t>7709899951</t>
  </si>
  <si>
    <t>Калужский Михаил Юрьевич</t>
  </si>
  <si>
    <t>402916522049</t>
  </si>
  <si>
    <t>109028, город Москва, Большой Трёхсвятительский пер., д.2/1</t>
  </si>
  <si>
    <t>АКЦИОНЕРНОЕ ОБЩЕСТВО "МОСКОВСКИЙ ОРДЕНА ТРУДОВОГО КРАСНОГО ЗНАМЕНИ НАУЧНО-ИССЛЕДОВАТЕЛЬСКИЙ РАДИОТЕХНИЧЕСКИЙ ИНСТИТУТ"</t>
  </si>
  <si>
    <t>azbuka_logistiki@mail.ru_x000D_
manager1.kaz@zda24.ru</t>
  </si>
  <si>
    <t>+7 (495) 980-24-44</t>
  </si>
  <si>
    <t>https://kad.arbitr.ru/Card/11a5307a-b2b2-4496-927e-71307168ec6d</t>
  </si>
  <si>
    <t>А41-14715/2024</t>
  </si>
  <si>
    <t>АО "Национальный Перевозчик"</t>
  </si>
  <si>
    <t>9705203020</t>
  </si>
  <si>
    <t>ООО "Азбука Логистики"</t>
  </si>
  <si>
    <t>5044106814</t>
  </si>
  <si>
    <t>Ширченко Евгений Николаевич</t>
  </si>
  <si>
    <t>121515366684</t>
  </si>
  <si>
    <t>141503, Московская область, город Солнечногорск, Красная ул, д. 109, ком. 2</t>
  </si>
  <si>
    <t>АКЦИОНЕРНОЕ ОБЩЕСТВО "НАЦИОНАЛЬНЫЙ ПЕРЕВОЗЧИК"</t>
  </si>
  <si>
    <t>ОБЩЕСТВО С ОГРАНИЧЕННОЙ ОТВЕТСТВЕННОСТЬЮ "АЗБУКА ЛОГИСТИКИ"</t>
  </si>
  <si>
    <t>https://kad.arbitr.ru/Card/e216b1f3-a7e4-489e-a03d-6b07464407c2</t>
  </si>
  <si>
    <t>А41-14714/2024</t>
  </si>
  <si>
    <t>127473, Россия, г. МОСКВА, г. МОСКВА, ул. ДЕЛЕГАТСКАЯ, д. 5 строение 1</t>
  </si>
  <si>
    <t>https://kad.arbitr.ru/Card/53705e71-5cc1-4519-9976-e8843d7cc6fe</t>
  </si>
  <si>
    <t>А40-35195/2024</t>
  </si>
  <si>
    <t>АО "РН-Транс"</t>
  </si>
  <si>
    <t>6330017677</t>
  </si>
  <si>
    <t>АКЦИОНЕРНОЕ ОБЩЕСТВО "РН-ТРАНС"</t>
  </si>
  <si>
    <t>asdf@asdf.kz_x000D_
cmzchah@yandex.ru_x000D_
bazaeva12@mail.ru_x000D_
gkhshaho@yandex.ru_x000D_
komekshah@yandex.ru_x000D_
komimshahmo@mail.ru_x000D_
shah-adm@yandex.ru_x000D_
shah-raion@yandex.ru_x000D_
shahadmin@mail.ru_x000D_
shahodoms@yandex.ru</t>
  </si>
  <si>
    <t>+7 (968) 426-08-60_x000D_
+7 (49637) 3-30-33, доб 3_x000D_
+7 (49637) 3-35-25_x000D_
+7 (49637) 3-44-63_x000D_
+7 (49637) 3-46-17_x000D_
+7 (49637) 3-47-07_x000D_
+7 (49637) 3-35-05_x000D_
+7 (49637) 3-38-33_x000D_
+7 (49637) 3-48-02_x000D_
+7 (49637) 3-32-59_x000D_
+7 (49637) 3-35-57_x000D_
+7 (906) 714-37-00_x000D_
+7 (906) 749-30-31_x000D_
+7 (49637) 3-47-92_x000D_
+7 (49637) 3-30-33</t>
  </si>
  <si>
    <t>http://Шах-го.РФ/</t>
  </si>
  <si>
    <t>https://kad.arbitr.ru/Card/8879a22d-be65-405c-9460-6722b5647741</t>
  </si>
  <si>
    <t>А41-14716/2024</t>
  </si>
  <si>
    <t>ООО "Арника"</t>
  </si>
  <si>
    <t>5079013800</t>
  </si>
  <si>
    <t>Администрация городского округа Шаховская</t>
  </si>
  <si>
    <t>5079001435</t>
  </si>
  <si>
    <t>Гаджиев Замир Агарзаевич</t>
  </si>
  <si>
    <t>507900364159</t>
  </si>
  <si>
    <t>143700, Московская область, рабочий поселок Шаховская, 1-я Советская ул., д.25</t>
  </si>
  <si>
    <t>Деятельность органов местного самоуправления по управлению вопросами общего характера (84.11.3)</t>
  </si>
  <si>
    <t>ОБЩЕСТВО С ОГРАНИЧЕННОЙ ОТВЕТСТВЕННОСТЬЮ "АРНИКА"</t>
  </si>
  <si>
    <t>АДМИНИСТРАЦИЯ ГОРОДСКОГО ОКРУГА ШАХОВСКАЯ МОСКОВСКОЙ ОБЛАСТИ</t>
  </si>
  <si>
    <t>https://kad.arbitr.ru/Card/8d25d6aa-5c44-4ec3-bb11-f2a41afe1180</t>
  </si>
  <si>
    <t>А40-35260/2024</t>
  </si>
  <si>
    <t>ИП Кушко Виктория Владимировна</t>
  </si>
  <si>
    <t>770307765500</t>
  </si>
  <si>
    <t>Кушко Виктория Владимировна</t>
  </si>
  <si>
    <t>Данные скрыты</t>
  </si>
  <si>
    <t>Производство мучных кондитерских изделий, тортов и пирожных недлительного хранения (10.71.2)</t>
  </si>
  <si>
    <t>Махлис Мирра Ивановна</t>
  </si>
  <si>
    <t>bubu-2019@yandex.ru</t>
  </si>
  <si>
    <t>ООО "Партия Закона"</t>
  </si>
  <si>
    <t>690893050501</t>
  </si>
  <si>
    <t>119180, город Москва, 1-Й Голутвинский пер, д. 3-5 стр. 1, этаж/пом/ком 6/1/1</t>
  </si>
  <si>
    <t>Деятельность в области права (69.10)</t>
  </si>
  <si>
    <t>ОБЩЕСТВО С ОГРАНИЧЕННОЙ ОТВЕТСТВЕННОСТЬЮ "ПАРТИЯ ЗАКОНА"</t>
  </si>
  <si>
    <t>https://kad.arbitr.ru/Card/2b805918-fc84-4d05-bac7-c73a5f9c6995</t>
  </si>
  <si>
    <t>А41-14717/2024</t>
  </si>
  <si>
    <t>gormost@dom.mos.ru_x000D_
mail@gormost.info_x000D_
torgi-gormost@dom.mos.ru_x000D_
IvanovaYS1@mos.ru_x000D_
chilikinanv@dom.mos.ru_x000D_
disp-gormost@dom.mos.ru_x000D_
do-gormost@dom.mos.ru_x000D_
gormost-oot@dom.mos.ru_x000D_
gormost@mail.ru_x000D_
kultyginavn@dom.mos.ru_x000D_
ogm-gormost@dom.mos.ru_x000D_
torgi@gormost.info_x000D_
BelyaevaEY@dom.mos.ru_x000D_
ok@gormost.info</t>
  </si>
  <si>
    <t>+7 (495) 632-58-02_x000D_
+7 (495) 632-58-03_x000D_
+7 (495) 632-58-19_x000D_
+7 (495) 632-58-07_x000D_
+7 (495) 362-21-06_x000D_
+7 (495) 495-63-25, доб 84_x000D_
+7 (495) 623-58-48_x000D_
+7 (495) 632-52-58_x000D_
+7 (495) 632-58-25_x000D_
+7 (495) 632-58-48_x000D_
+7 (495) 632-59-48_x000D_
+7 (495) 951-74-24_x000D_
+7 (495) 957-99-31_x000D_
+7 (499) 632-58-28_x000D_
+7 (495) 632-58-28_x000D_
+7 (499) 632-58-48_x000D_
+7 (499) 632-58-02_x000D_
+7(495)6325802_x000D_
+7(495)6325807_x000D_
+7 (495) 957-99-77_x000D_
+7 (495) 632-50-01_x000D_
+7 (495) 632-58-08, доб 415_x000D_
+7 (495) 361-48-67_x000D_
+7 (495) 632-58-48, доб 5819_x000D_
+7 (495) 632-58-32_x000D_
+7 (495) 362-19-01_x000D_
+7 (863) 252-58-19_x000D_
+7 (863) 258-28-63_x000D_
+7 (495) 361-21-79_x000D_
+7 (495) 670-98-06_x000D_
+7 (495) 632-58-59_x000D_
+7 (495) 632-58-28, доб 8495</t>
  </si>
  <si>
    <t>http://gormost.mos.ru/_x000D_
http://www.gormost.mos.ru/_x000D_
http://www.gormost.info/_x000D_
https://gormost.mos.ru/</t>
  </si>
  <si>
    <t>https://kad.arbitr.ru/Card/52ac45c6-5557-4edc-88f5-0cda4fc1274b</t>
  </si>
  <si>
    <t>А40-35118/2024</t>
  </si>
  <si>
    <t>ООО "Резолют"</t>
  </si>
  <si>
    <t>9729134658</t>
  </si>
  <si>
    <t>ГБУ "Гормост"</t>
  </si>
  <si>
    <t>7722765428</t>
  </si>
  <si>
    <t>Иванков Юрий Анатольевич</t>
  </si>
  <si>
    <t>463306513678</t>
  </si>
  <si>
    <t>111033, город Москва, Верхний Золоторожский пер., д.5 стр.3</t>
  </si>
  <si>
    <t>Деятельность по эксплуатации мостов и тоннелей (52.21.23)</t>
  </si>
  <si>
    <t>ОБЩЕСТВО С ОГРАНИЧЕННОЙ ОТВЕТСТВЕННОСТЬЮ "РЕЗОЛЮТ"</t>
  </si>
  <si>
    <t>ГОСУДАРСТВЕННОЕ БЮДЖЕТНОЕ УЧРЕЖДЕНИЕ ГОРОДА МОСКВЫ ПО ЭКСПЛУАТАЦИИ И РЕМОНТУ ИНЖЕНЕРНЫХ СООРУЖЕНИЙ "ГОРМОСТ"</t>
  </si>
  <si>
    <t>https://kad.arbitr.ru/Card/68973a98-a9ed-4d90-8122-b268b6d1f18d</t>
  </si>
  <si>
    <t>А40-35100/2024</t>
  </si>
  <si>
    <t>АО "Метротрансстрой"</t>
  </si>
  <si>
    <t>7810799585</t>
  </si>
  <si>
    <t>ООО "Комплектсервис"</t>
  </si>
  <si>
    <t>7736286369</t>
  </si>
  <si>
    <t>Огибенин Владимир Алексеевич</t>
  </si>
  <si>
    <t>662339447625</t>
  </si>
  <si>
    <t>123308, город Москва, 3-й Силикатный пр-д, д. 4 к. 1, э 5 п 2 к 15 30 31</t>
  </si>
  <si>
    <t>Торговля оптовая прочими строительными материалами и изделиями (46.73.6)</t>
  </si>
  <si>
    <t>АКЦИОНЕРНОЕ ОБЩЕСТВО "МЕТРОТРАНССТРОЙ"</t>
  </si>
  <si>
    <t>ОБЩЕСТВО С ОГРАНИЧЕННОЙ ОТВЕТСТВЕННОСТЬЮ "КОМПЛЕКТСЕРВИС"</t>
  </si>
  <si>
    <t>https://kad.arbitr.ru/Card/23f17657-a601-44ed-8b44-d2c1aa689944</t>
  </si>
  <si>
    <t>А41-14718/2024</t>
  </si>
  <si>
    <t>ИП Бабаев Юханнан Альбертович</t>
  </si>
  <si>
    <t>710411501922</t>
  </si>
  <si>
    <t>Бабаев Юханнан Альбертович</t>
  </si>
  <si>
    <t>117312, Россия, г. Москва, г. Москва, Вавилова, д. 19</t>
  </si>
  <si>
    <t>https://kad.arbitr.ru/Card/1f14533b-4354-4631-a0b8-4c6754a8eeff</t>
  </si>
  <si>
    <t>А40-36937/2024</t>
  </si>
  <si>
    <t>ООО "Опалубка Сеть"</t>
  </si>
  <si>
    <t>7727440617</t>
  </si>
  <si>
    <t>ИП Антипова Марина Андреевна</t>
  </si>
  <si>
    <t>772396093107</t>
  </si>
  <si>
    <t>Антипова Марина Андреевна</t>
  </si>
  <si>
    <t>117403, Россия, г Москва, г вн тер Муниципальный Округ Бирюлево Западное, г. Москва, ул. Никопольская, д. 6 строение 2, комната 617</t>
  </si>
  <si>
    <t>ОБЩЕСТВО С ОГРАНИЧЕННОЙ ОТВЕТСТВЕННОСТЬЮ "ОПАЛУБКА СЕТЬ"</t>
  </si>
  <si>
    <t>info@almacor-group.ru_x000D_
e.efremova@almacor-group.ru_x000D_
e.mezhenina@almacor-group.ru_x000D_
e.mezhenina@flmacor-group.ru_x000D_
marketing@almacor-group.ru</t>
  </si>
  <si>
    <t>+7 (499) 702-33-38_x000D_
+7 (495) 475-92-86_x000D_
+7 (499) 702-33-38, доб 100</t>
  </si>
  <si>
    <t>http://almacor-rent.ru/</t>
  </si>
  <si>
    <t>https://kad.arbitr.ru/Card/8c292523-c64b-450a-86b0-66b22c06024a</t>
  </si>
  <si>
    <t>А40-36946/2024</t>
  </si>
  <si>
    <t>ООО "Мегаполис"</t>
  </si>
  <si>
    <t>7731283974</t>
  </si>
  <si>
    <t>ООО "Альмакоргруп"</t>
  </si>
  <si>
    <t>5032134447</t>
  </si>
  <si>
    <t>Вершинин Сергей Викторович</t>
  </si>
  <si>
    <t>770103020228</t>
  </si>
  <si>
    <t>127576, город Москва, Илимская ул, д. 5 к. 2</t>
  </si>
  <si>
    <t>Строительство мостов и тоннелей (42.13)</t>
  </si>
  <si>
    <t>ОБЩЕСТВО С ОГРАНИЧЕННОЙ ОТВЕТСТВЕННОСТЬЮ "МЕГАПОЛИС"</t>
  </si>
  <si>
    <t>ОБЩЕСТВО С ОГРАНИЧЕННОЙ ОТВЕТСТВЕННОСТЬЮ "АЛЬМАКОРГРУП"</t>
  </si>
  <si>
    <t>yariz80@mail.ru</t>
  </si>
  <si>
    <t>https://kad.arbitr.ru/Card/c5a80b9b-2b1e-4155-b2e5-ebeea8755b19</t>
  </si>
  <si>
    <t>А40-36687/2024</t>
  </si>
  <si>
    <t>АО СЗ "Мосстройснаб"</t>
  </si>
  <si>
    <t>7710012589</t>
  </si>
  <si>
    <t>ООО "Экострой"</t>
  </si>
  <si>
    <t>9723113436</t>
  </si>
  <si>
    <t>Ароупов Алибек</t>
  </si>
  <si>
    <t>115193, город Москва, ул Петра Романова, д. 7 стр. 1, этаж/помещ. 5/I ком./офис 9/б6м</t>
  </si>
  <si>
    <t>Производство штукатурных работ (43.31)</t>
  </si>
  <si>
    <t>АКЦИОНЕРНОЕ ОБЩЕСТВО СПЕЦИАЛИЗИРОВАННЫЙ ЗАСТРОЙЩИК "МОССТРОЙСНАБ"</t>
  </si>
  <si>
    <t>ОБЩЕСТВО С ОГРАНИЧЕННОЙ ОТВЕТСТВЕННОСТЬЮ "ЭКОСТРОЙ"</t>
  </si>
  <si>
    <t>https://kad.arbitr.ru/Card/69f19357-24ad-4770-9067-c39d94fa57a5</t>
  </si>
  <si>
    <t>А41-14741/2024</t>
  </si>
  <si>
    <t>ООО "ПСК Стройнеруд"</t>
  </si>
  <si>
    <t>7706218795</t>
  </si>
  <si>
    <t>ООО "ТМ"</t>
  </si>
  <si>
    <t>5042152325</t>
  </si>
  <si>
    <t>Филиппов Алексей Владимирович</t>
  </si>
  <si>
    <t>773714438409</t>
  </si>
  <si>
    <t>141307, Московская область, город Сергиев Посад, Фестивальная ул., д. 10, эт/к 3/5</t>
  </si>
  <si>
    <t>ОБЩЕСТВО С ОГРАНИЧЕННОЙ ОТВЕТСТВЕННОСТЬЮ "ПСК СТРОЙНЕРУД"</t>
  </si>
  <si>
    <t>ОБЩЕСТВО С ОГРАНИЧЕННОЙ ОТВЕТСТВЕННОСТЬЮ "ТЕХНО МОНОЛИТ"</t>
  </si>
  <si>
    <t>https://kad.arbitr.ru/Card/2ba7a901-3b63-4da7-9e18-bb8811087ea4</t>
  </si>
  <si>
    <t>А40-36562/2024</t>
  </si>
  <si>
    <t>ООО "Евроасфальт"</t>
  </si>
  <si>
    <t>7743667414</t>
  </si>
  <si>
    <t>ООО "СК Альфа"</t>
  </si>
  <si>
    <t>7720643826</t>
  </si>
  <si>
    <t>Амирасланов Амрах Сахрад Оглы</t>
  </si>
  <si>
    <t>571000067870</t>
  </si>
  <si>
    <t>111622, город Москва, Большая Косинская ул, д. 27 стр. 1а</t>
  </si>
  <si>
    <t>ОБЩЕСТВО С ОГРАНИЧЕННОЙ ОТВЕТСТВЕННОСТЬЮ "ЕВРОАСФАЛЬТ"</t>
  </si>
  <si>
    <t>ОБЩЕСТВО С ОГРАНИЧЕННОЙ ОТВЕТСТВЕННОСТЬЮ "СК АЛЬФА"</t>
  </si>
  <si>
    <t>abdrashikov@a101.ru_x000D_
akorotkova@uniservis.org_x000D_
eglushkova@uniservis.org_x000D_
opodofa@uniservis.org</t>
  </si>
  <si>
    <t>+7 (495) 665-73-95_x000D_
+7 (495) 746-21-00</t>
  </si>
  <si>
    <t>https://kad.arbitr.ru/Card/1790a0b1-343e-49f4-8aff-bc227d151ba1</t>
  </si>
  <si>
    <t>А40-36511/2024</t>
  </si>
  <si>
    <t>ООО "ЭТК № 2"</t>
  </si>
  <si>
    <t>7704583464</t>
  </si>
  <si>
    <t>ООО "ДУ МКД"</t>
  </si>
  <si>
    <t>5003093757</t>
  </si>
  <si>
    <t>Баранов Вадим Викторович</t>
  </si>
  <si>
    <t>772977883165</t>
  </si>
  <si>
    <t>108814, город Москва, поселение Сосенское, поселок Коммунарка, Александры Монаховой ул., двлд 30 стр 1, помещ/каб 114/320</t>
  </si>
  <si>
    <t>ОБЩЕСТВО С ОГРАНИЧЕННОЙ ОТВЕТСТВЕННОСТЬЮ "ЭКСПЛУАТАЦИОННО-ТЕХНИЧЕСКАЯ КОМПАНИЯ № 2"</t>
  </si>
  <si>
    <t>ОБЩЕСТВО С ОГРАНИЧЕННОЙ ОТВЕТСТВЕННОСТЬЮ "ДИРЕКЦИЯ ПО УПРАВЛЕНИЮ МНОГОКВАРТИРНЫМИ ДОМАМИ"</t>
  </si>
  <si>
    <t>https://kad.arbitr.ru/Card/9af38d02-72d5-45fa-b466-846c0a750308</t>
  </si>
  <si>
    <t>А40-36489/2024</t>
  </si>
  <si>
    <t>ИП Полозов Максим Дмитриевич</t>
  </si>
  <si>
    <t>471301852302</t>
  </si>
  <si>
    <t>ООО "Интелмакс"</t>
  </si>
  <si>
    <t>7707461908</t>
  </si>
  <si>
    <t>Акимова Елизавета Михайловна</t>
  </si>
  <si>
    <t>772577807120</t>
  </si>
  <si>
    <t>127055, город Москва, Угловой пер, д. 2, этаж/помещ. 10/I ком./р.м. 1/4к</t>
  </si>
  <si>
    <t>Торговля оптовая прочими машинами и оборудованием (46.69)</t>
  </si>
  <si>
    <t>ОБЩЕСТВО С ОГРАНИЧЕННОЙ ОТВЕТСТВЕННОСТЬЮ "ИНТЕЛМАКС"</t>
  </si>
  <si>
    <t>+7 (904) 890-90-52_x000D_
+7 (3912) 22-06-94</t>
  </si>
  <si>
    <t>https://kad.arbitr.ru/Card/a23793d2-9e84-4dfe-9eaf-185092b9da1c</t>
  </si>
  <si>
    <t>А40-36481/2024</t>
  </si>
  <si>
    <t>ФГУП "ГВСУ по Специальным Объектам"</t>
  </si>
  <si>
    <t>7734003657</t>
  </si>
  <si>
    <t>АО "СПГ"</t>
  </si>
  <si>
    <t>2466283559</t>
  </si>
  <si>
    <t>470103094849</t>
  </si>
  <si>
    <t>660049, Красноярский край, г Красноярск, ул Карла Маркса, д. 26</t>
  </si>
  <si>
    <t>ФЕДЕРАЛЬНОЕ ГОСУДАРСТВЕННОЕ УНИТАРНОЕ ПРЕДПРИЯТИЕ "ГЛАВНОЕ ВОЕННО-СТРОИТЕЛЬНОЕ УПРАВЛЕНИЕ ПО СПЕЦИАЛЬНЫМ ОБЪЕКТАМ"</t>
  </si>
  <si>
    <t>АКЦИОНЕРНОЕ ОБЩЕСТВО "СИБИРЬПРОМГРУПП"</t>
  </si>
  <si>
    <t>ООО "Дельтаком"</t>
  </si>
  <si>
    <t>7728388776</t>
  </si>
  <si>
    <t>Ткаченко Татьяна Александровна</t>
  </si>
  <si>
    <t>343520239764</t>
  </si>
  <si>
    <t>117246, город Москва, Научный пр-д, д. 10, эт 1 ком 327</t>
  </si>
  <si>
    <t>Торговля оптовая машинами и оборудованием для добычи полезных ископаемых и строительства (46.63)</t>
  </si>
  <si>
    <t>ОБЩЕСТВО С ОГРАНИЧЕННОЙ ОТВЕТСТВЕННОСТЬЮ "ДЕЛЬТАКОМ"</t>
  </si>
  <si>
    <t>https://kad.arbitr.ru/Card/dedd86b4-ac02-42d7-85ab-3f5b6df6e331</t>
  </si>
  <si>
    <t>А40-36419/2024</t>
  </si>
  <si>
    <t>ООО "ПМ Эр3"</t>
  </si>
  <si>
    <t>7734699459</t>
  </si>
  <si>
    <t>ОБЩЕСТВО С ОГРАНИЧЕННОЙ ОТВЕТСТВЕННОСТЬЮ "ПРОЕКТНАЯ МАСТЕРСКАЯ ЭР3"</t>
  </si>
  <si>
    <t>https://kad.arbitr.ru/Card/25d6a60f-a276-46ba-8fc6-611eb34f6175</t>
  </si>
  <si>
    <t>А40-36417/2024</t>
  </si>
  <si>
    <t>https://kad.arbitr.ru/Card/7b434843-887d-4776-a299-a1c285ae927b</t>
  </si>
  <si>
    <t>А40-36353/2024</t>
  </si>
  <si>
    <t>ООО "ПДК "Южный"</t>
  </si>
  <si>
    <t>5043035127</t>
  </si>
  <si>
    <t>ОБЩЕСТВО С ОГРАНИЧЕННОЙ ОТВЕТСТВЕННОСТЬЮ "ПИТОМНИК ДЕКОРАТИВНЫХ КУЛЬТУР "ЮЖНЫЙ"</t>
  </si>
  <si>
    <t>+7 (812) 438-20-57_x000D_
+7 (812) 319-38-16_x000D_
+7 (812) 438-20-58</t>
  </si>
  <si>
    <t>https://kad.arbitr.ru/Card/05e25baa-5bdf-474a-8129-408f8771609d</t>
  </si>
  <si>
    <t>А40-36414/2024</t>
  </si>
  <si>
    <t>ООО "Газпромбанк Автолизинг"</t>
  </si>
  <si>
    <t>7728533208</t>
  </si>
  <si>
    <t>ООО "Балтстройрент"</t>
  </si>
  <si>
    <t>7816312871</t>
  </si>
  <si>
    <t>Буниатян Гегам Манвелович</t>
  </si>
  <si>
    <t>781142643023</t>
  </si>
  <si>
    <t>196191, город Санкт-Петербург, Варшавская ул, д. 61 к. 1 литера А, кв. 179</t>
  </si>
  <si>
    <t>Аренда и лизинг строительных машин и оборудования (77.32)</t>
  </si>
  <si>
    <t>ОБЩЕСТВО С ОГРАНИЧЕННОЙ ОТВЕТСТВЕННОСТЬЮ "ГАЗПРОМБАНК АВТОЛИЗИНГ"</t>
  </si>
  <si>
    <t>ОБЩЕСТВО С ОГРАНИЧЕННОЙ ОТВЕТСТВЕННОСТЬЮ "БАЛТСТРОЙРЕНТ"</t>
  </si>
  <si>
    <t>lessii@bk.ru</t>
  </si>
  <si>
    <t>ООО "Арлестрой"</t>
  </si>
  <si>
    <t>5040174980</t>
  </si>
  <si>
    <t>Варданян Олеся Апетнаковна</t>
  </si>
  <si>
    <t>504026652932</t>
  </si>
  <si>
    <t>140060, Московская область, д Островцы, мкр Новые Островцы, Баулинская ул, д. 13, кв. 76</t>
  </si>
  <si>
    <t>ОБЩЕСТВО С ОГРАНИЧЕННОЙ ОТВЕТСТВЕННОСТЬЮ "АРЛЕСТРОЙ"</t>
  </si>
  <si>
    <t>https://kad.arbitr.ru/Card/8daef03e-202a-41eb-a087-619c1e4dfbf1</t>
  </si>
  <si>
    <t>А40-36329/2024</t>
  </si>
  <si>
    <t>ttrushinskaya@mi-helicopter.ru_x000D_
02200613@mail.ru_x000D_
tromanova@mi-helicopter.ru_x000D_
aolishuk@mi-helicopter.ru_x000D_
apanchin@mi-helicopter.ru_x000D_
dmozhaev@mi-helicopter.ru_x000D_
gosniiga@gosniiga.ru_x000D_
info@rus-helicopters.com_x000D_
ir@rus-helicopters.com_x000D_
mvz@mi-helicopter.ru_x000D_
mvz@mvzmil.ru_x000D_
net@net.ru_x000D_
nsemenova@mi-helicopter.ru_x000D_
oltkga_2011@mail.ru_x000D_
tpavluk@mi-helicopter.ru_x000D_
personal@mi-helicopter.ru</t>
  </si>
  <si>
    <t>+7 (495) 669-23-90_x000D_
+7 (495) 669-70-83_x000D_
+7 (498) 553-80-02_x000D_
+7 (495) 669-21-34_x000D_
+7 (3812) 51-72-07_x000D_
+7 (495) 264-55-71_x000D_
+7 (495) 264-90-38_x000D_
+7 (495) 622-32-39_x000D_
+7 (495) 647-31-92_x000D_
+7 (495) 647-32-10_x000D_
+7 (495) 649-33-40_x000D_
+7 (495) 654-65-46_x000D_
+7 (495) 669-21-66_x000D_
+7 (495) 669-70-30_x000D_
+7 (495) 669-70-81_x000D_
+7 (499) 264-47-53_x000D_
+7 (499) 264-90-83_x000D_
+7 (499) 669-70-38_x000D_
+7 (499) 669-70-83_x000D_
+7 (919) 784-42-34_x000D_
+7 (499) 767-07-68_x000D_
+7 (495) 984-54-78_x000D_
+7 (495) 264-90-83_x000D_
+7 (495) 627-55-45_x000D_
+7 (495) 649-23-90_x000D_
+7 (495) 557-90-14_x000D_
+7 (495) 669-70-38_x000D_
+7 (499) 264-47-22_x000D_
+7 (499) 268-23-06_x000D_
+7 (495) 269-92-93_x000D_
+7 (495) 699-23-90_x000D_
+7 (925) 008-91-49_x000D_
+7 (495) 553-02-34_x000D_
+7 (495) 669-23-00_x000D_
+7 (495) 549-66-86_x000D_
+7 (495) 700-31-21_x000D_
+7 (495) 994-46-40_x000D_
+7 (495) 627-52-54_x000D_
+7 (916) 982-28-68_x000D_
+7 (495) 553-80-02_x000D_
+7 (495) 669-70-94_x000D_
+7 (495) 654-74-74</t>
  </si>
  <si>
    <t>http://www.mi-helicopter.ru/_x000D_
http://www.russianhelicopters.aero/ru/mvz/about/</t>
  </si>
  <si>
    <t>https://kad.arbitr.ru/Card/a0c82b97-faea-4f58-b801-da2d2da4a71b</t>
  </si>
  <si>
    <t>А41-15001/2024</t>
  </si>
  <si>
    <t>АО "НИИ "Экран"</t>
  </si>
  <si>
    <t>6319169796</t>
  </si>
  <si>
    <t>АО "НЦВ Миль и Камов"</t>
  </si>
  <si>
    <t>7718016666</t>
  </si>
  <si>
    <t>140070, Московская область, город Люберцы, рабочий поселок Томилино, ул. Гаршина, д.26/1</t>
  </si>
  <si>
    <t>АКЦИОНЕРНОЕ ОБЩЕСТВО "НАУЧНО-ИССЛЕДОВАТЕЛЬСКИЙ ИНСТИТУТ "ЭКРАН"</t>
  </si>
  <si>
    <t>АКЦИОНЕРНОЕ ОБЩЕСТВО "НАЦИОНАЛЬНЫЙ ЦЕНТР ВЕРТОЛЕТОСТРОЕНИЯ ИМ. М.Л. МИЛЯ И Н.И. КАМОВА"</t>
  </si>
  <si>
    <t>https://kad.arbitr.ru/Card/2e58c542-3def-490e-8ba2-f00fd48554ee</t>
  </si>
  <si>
    <t>А41-14956/2024</t>
  </si>
  <si>
    <t>ИП Колесников Александр Владимирович</t>
  </si>
  <si>
    <t>503200635092</t>
  </si>
  <si>
    <t>ИП Черепухин Данил Александрович</t>
  </si>
  <si>
    <t>772465226858</t>
  </si>
  <si>
    <t>Черепухин Данил Александрович</t>
  </si>
  <si>
    <t xml:space="preserve">   Московская область, город Видное  </t>
  </si>
  <si>
    <t>Операции с недвижимым имуществом за вознаграждение или на договорной основе (68.3)</t>
  </si>
  <si>
    <t>https://kad.arbitr.ru/Card/b7718dcc-e322-4899-ac38-a3009c13398c</t>
  </si>
  <si>
    <t>А41-14950/2024</t>
  </si>
  <si>
    <t>ИП Рубцов Станислав Владимирович</t>
  </si>
  <si>
    <t>773802160576</t>
  </si>
  <si>
    <t>Рубцов Станислав Владимирович</t>
  </si>
  <si>
    <t>123112, Россия, г. Москва, г. Москва, 1-Й КРАСНОГВАРДЕЙСКИЙ проезд, д. 21 строение 1</t>
  </si>
  <si>
    <t>byx@flexuser.ru_x000D_
mupecu@bk.ru_x000D_
denisov-v@bk.ru_x000D_
mupumz@mail.ru_x000D_
raschet@elcy.ru_x000D_
s10042010@yandex.ru_x000D_
bux@elcy.ru</t>
  </si>
  <si>
    <t>+7 (49657) 3-10-06_x000D_
+7 (49657) 3-55-36</t>
  </si>
  <si>
    <t>https://kad.arbitr.ru/Card/bb6569cd-9440-4e68-bbc0-e06495a69bb6</t>
  </si>
  <si>
    <t>А41-14882/2024</t>
  </si>
  <si>
    <t>МУП "ЭЦУ"</t>
  </si>
  <si>
    <t>5053041031</t>
  </si>
  <si>
    <t>Жулябин Олег Юрьевич</t>
  </si>
  <si>
    <t>505311587031</t>
  </si>
  <si>
    <t>144012, Московская область, город Электросталь, ул. Чернышевского, д.58</t>
  </si>
  <si>
    <t>Производство пара и горячей воды (тепловой энергии) котельными (35.30.14)</t>
  </si>
  <si>
    <t>МУНИЦИПАЛЬНОЕ УНИТАРНОЕ ПРЕДПРИЯТИЕ ГОРОДСКОГО ОКРУГА ЭЛЕКТРОСТАЛЬ МОСКОВСКОЙ ОБЛАСТИ "ЭЛЕКТРОСТАЛЬСКИЙ ЦЕНТР УСЛУГ"</t>
  </si>
  <si>
    <t>+7 (925) 768-91-13_x000D_
+7 (495) 508-84-32_x000D_
+7 (903) 226-69-36_x000D_
+7 (903) 619-46-13</t>
  </si>
  <si>
    <t>http://abc1doma.ru/_x000D_
http://azbuka-uta.ru/_x000D_
http://azbukaigr.ru/</t>
  </si>
  <si>
    <t>https://kad.arbitr.ru/Card/648386bc-9a3f-4cec-8a1a-7e16358e238b</t>
  </si>
  <si>
    <t>А41-14869/2024</t>
  </si>
  <si>
    <t>ООО "Азбука Уюта"</t>
  </si>
  <si>
    <t>5047208525</t>
  </si>
  <si>
    <t>Гатчина Надежда Павловна</t>
  </si>
  <si>
    <t>504707084503</t>
  </si>
  <si>
    <t>141401, Московская область, город Химки, Рабочая ул., д. 2 к. 95, офис 546</t>
  </si>
  <si>
    <t>ОБЩЕСТВО С ОГРАНИЧЕННОЙ ОТВЕТСТВЕННОСТЬЮ "АЗБУКА УЮТА"</t>
  </si>
  <si>
    <t>vtkh-abn@mail.ru_x000D_
bfbnfgngf@mail.ru_x000D_
bv@mail.ru_x000D_
cfdgh@mail.ru_x000D_
fffd2@mail.ru_x000D_
finans@50.rospotrebnador.ru_x000D_
fjjh@mail.ru_x000D_
hfghgf@mail.ru_x000D_
jdkjgh@mail.ru_x000D_
loux20@mail.ru_x000D_
louxivodokanal@mail.ru_x000D_
nth@mail.ru_x000D_
sekretvtkh@mail.ru_x000D_
tfytytuy@mail.ru_x000D_
vth@mail.ru_x000D_
vtkh@mail.ru_x000D_
vtkh_abn@mail.ru_x000D_
vtkh_mo@mail.ru_x000D_
vtkh_urist@mail.ru_x000D_
vtkh|_abn@mail.ru_x000D_
www@mail.ru_x000D_
yhgff@mail.ru_x000D_
zc@mail.ru</t>
  </si>
  <si>
    <t>+7 (49663) 6-10-40_x000D_
+7 (915) 157-52-20_x000D_
8 (800) 200-30-00_x000D_
+7 (495) 549-63-21_x000D_
+7 (495) 582-90-20_x000D_
+7 (49663) 0-00-00_x000D_
+7 (49663) 2-16-78_x000D_
+7 (49663) 2-43-34_x000D_
+7 (49663) 2-45-89_x000D_
+7 (49663) 2-56-98, доб 4_x000D_
+7 (49663) 2-57-85_x000D_
+7 (49663) 2-62-89_x000D_
+7 (49663) 3-18-55_x000D_
+7 (49663) 3-36-00_x000D_
+7 (49663) 3-59-64_x000D_
+7 (49663) 3-65-98_x000D_
+7 (49663) 4-22-15_x000D_
+7 (49663) 5-64-56_x000D_
+7 (49663) 6-16-05_x000D_
+7 (49663) 6-18-12_x000D_
+7 (49663) 6-22-54_x000D_
+7 (49663) 9-61-05_x000D_
+7 (49663) 6-10-56_x000D_
+7 (49663) 3-65-94, доб 7_x000D_
+7 (495) 658-21-47_x000D_
+7 (49663) 3-11-93_x000D_
+7 (49663) 2-32-69_x000D_
+7 (49663) 2-54-54_x000D_
+7 (49663) 4-25-25_x000D_
+7 (49663) 2-35-69, доб 87_x000D_
+7 (49663) 1-16-05_x000D_
+7 (49669) 6-10-56_x000D_
+7 (49663) 6-04-00_x000D_
+7 (969) 630-64-00_x000D_
+7 (49663) 9-11-87_x000D_
+7 (49663) 6-19-05_x000D_
+7 (495) 636-15-06_x000D_
+7 (49663) 9-11-89_x000D_
+7 (49663) 6-22-58_x000D_
+7 (49663) 6-12-58_x000D_
+7 (49663) 6-12-59, доб 6_x000D_
+7 (49663) 6-19-15_x000D_
+7 (49663) 6-36-19, доб 15_x000D_
+7 (49663) 0-00-00, доб 00_x000D_
+7 (49663) 6-22-95_x000D_
+7 (49663) 6-46-05_x000D_
+7 (49663) 6-19-18_x000D_
+7 (916) 505-07-06_x000D_
+7 (49663) 6-12-54_x000D_
+7 (49663) 6-12-48_x000D_
+7 (49663) 6-19-25_x000D_
+7 (49663) 6-15-48, доб 59_x000D_
+7 (49663) 6-54-32_x000D_
+7 (49663) 6-53-56_x000D_
+7 (49663) 6-45-98_x000D_
+7 (495) 634-22-15_x000D_
+7 (49663) 6-16-35_x000D_
+7 (49663) 6-15-05_x000D_
+7 (49663) 6-29-88_x000D_
+7 (49663) 9-81-82_x000D_
+7 (498) 657-41-45_x000D_
+7 (49663) 6-61-60_x000D_
+7 (49666) 3-42-21, доб 5_x000D_
+7 (499) 972-82-83_x000D_
+7 (49663) 6-13-31_x000D_
+7 (495) 559-84-97_x000D_
+7 (49663) 6-24-43</t>
  </si>
  <si>
    <t>https://kad.arbitr.ru/Card/324ab003-561b-4ff0-82ae-a0ee521dd3ec</t>
  </si>
  <si>
    <t>А41-14864/2024</t>
  </si>
  <si>
    <t>ООО "ВТКХ"</t>
  </si>
  <si>
    <t>5072003225</t>
  </si>
  <si>
    <t>Капырин Дмитрий Анатольевич</t>
  </si>
  <si>
    <t>502203328147</t>
  </si>
  <si>
    <t>140500, Московская область, город Луховицы, ул. 40 лет Октября, д.28</t>
  </si>
  <si>
    <t>Распределение пара и горячей воды (тепловой энергии) (35.30.3)</t>
  </si>
  <si>
    <t>ОБЩЕСТВО С ОГРАНИЧЕННОЙ ОТВЕТСТВЕННОСТЬЮ "ВОДОТЕПЛОКАНАЛИЗАЦИОННОЕ ХОЗЯЙСТВО"</t>
  </si>
  <si>
    <t>mupjpet-2@yandex.ru_x000D_
z-otoppi@mail.ru_x000D_
mupgpet-2@yandex.ru_x000D_
mupjpet@yandex.ru_x000D_
000@mail.ru</t>
  </si>
  <si>
    <t>+7 (4967) 54-55-74_x000D_
+7 (4967) 52-96-38_x000D_
+7 (4967) 54-57-37_x000D_
+7 (4967) 56-89-25_x000D_
+7 (4967) 54-73-27_x000D_
+7 (903) 100-52-26_x000D_
+7 (4967) 56-84-18_x000D_
+7 (4967) 54-57-50_x000D_
+7 (4967) 52-67-81_x000D_
+7 (4967) 57-84-19_x000D_
+7 (4967) 52-03-35</t>
  </si>
  <si>
    <t>https://kad.arbitr.ru/Card/8d1504b0-9068-4a54-b719-d6c9f3d135ab</t>
  </si>
  <si>
    <t>А41-14835/2024</t>
  </si>
  <si>
    <t>МУП "УК Подольск"</t>
  </si>
  <si>
    <t>5036049545</t>
  </si>
  <si>
    <t>Тетерин Александр Дмитриевич</t>
  </si>
  <si>
    <t>503302013950</t>
  </si>
  <si>
    <t>142119, Московская область, г Подольск, Октябрьский пр-кт, д. 2</t>
  </si>
  <si>
    <t>МУНИЦИПАЛЬНОЕ УНИТАРНОЕ ПРЕДПРИЯТИЕ ГОРОДСКОГО ОКРУГА ПОДОЛЬСК "УК ПОДОЛЬСК"</t>
  </si>
  <si>
    <t>https://kad.arbitr.ru/Card/43970a3e-eb8e-41ed-9996-35649d90c5e5</t>
  </si>
  <si>
    <t>А41-14846/2024</t>
  </si>
  <si>
    <t>+7 (495) 501-03-09_x000D_
+7 (903) 169-93-54</t>
  </si>
  <si>
    <t>https://kad.arbitr.ru/Card/6c0cb5a9-6319-4d0f-b9ad-5f01d767c49e</t>
  </si>
  <si>
    <t>А41-14824/2024</t>
  </si>
  <si>
    <t>ДНТ "Обрабпрос"</t>
  </si>
  <si>
    <t>5027051925</t>
  </si>
  <si>
    <t>Веденова Татьяна Ивановна</t>
  </si>
  <si>
    <t>772438179704</t>
  </si>
  <si>
    <t>140030, Московская область, город Люберцы, рабочий поселок Малаховка, ул. Стальского, д.13/21</t>
  </si>
  <si>
    <t>Управление эксплуатацией нежилого фонда за вознаграждение или на договорной основе (68.32.2)</t>
  </si>
  <si>
    <t>ДАЧНОЕ НЕКОММЕРЧЕСКОЕ ТОВАРИЩЕСТВО "ОБРАБПРОС"</t>
  </si>
  <si>
    <t>https://kad.arbitr.ru/Card/bcba5947-64ab-4a9e-a012-5b77e394f177</t>
  </si>
  <si>
    <t>А41-14815/2024</t>
  </si>
  <si>
    <t>ООО ГК "Строй Индустрия"</t>
  </si>
  <si>
    <t>9715368039</t>
  </si>
  <si>
    <t>ООО "Курс-Инвест"</t>
  </si>
  <si>
    <t>9715441747</t>
  </si>
  <si>
    <t>Сотниченко Вадим Владимирович</t>
  </si>
  <si>
    <t>771576305052</t>
  </si>
  <si>
    <t>127490, город Москва, ул Пестеля, д. 6, помещ. 1/1</t>
  </si>
  <si>
    <t>ОБЩЕСТВО С ОГРАНИЧЕННОЙ ОТВЕТСТВЕННОСТЬЮ ГК "СТРОЙ ИНДУСТРИЯ"</t>
  </si>
  <si>
    <t>ОБЩЕСТВО С ОГРАНИЧЕННОЙ ОТВЕТСТВЕННОСТЬЮ "КУРС-ИНВЕСТ"</t>
  </si>
  <si>
    <t>bauman@bmstu.ru_x000D_
f_dmitrov@bmstu.ru_x000D_
mgul@mgul.ac.ru_x000D_
bauman.kf@bmstu.ru_x000D_
vgsanaev@bmstu.ru_x000D_
mail@bmstu-kaluga.ru_x000D_
juliach1989@mail.ru_x000D_
koib@bmstu.ru_x000D_
uress@baumanpress.ru</t>
  </si>
  <si>
    <t>+7 (499) 261-17-43_x000D_
+7 (499) 263-63-91_x000D_
+7 (4842) 74-40-32_x000D_
+7 (499) 261-45-97_x000D_
+7 (499) 263-63-76_x000D_
+7 (499) 267-48-44_x000D_
+7 (499) 367-06-36_x000D_
+7 (499) 263-64-63_x000D_
+7 (495) 263-60-45_x000D_
+7 (495) 993-95-51_x000D_
+7 (498) 687-36-52_x000D_
+7(499)2636391_x000D_
+7(499)2611743_x000D_
+7(4842)744032_x000D_
+7 (499) 632-22-44_x000D_
+7(499)6322244_x000D_
+7 (4842) 56-30-45_x000D_
+7 (495) 261-48-95_x000D_
+7 (495) 263-61-34_x000D_
+7 (495) 263-67-15_x000D_
+7 (495) 993-99-59_x000D_
+7 (49622) 6-91-02_x000D_
+7 (49622) 6-97-08_x000D_
+7 (499) 261-02-28_x000D_
+7 (499) 261-51-67_x000D_
+7 (499) 263-60-11_x000D_
+7 (499) 263-60-65_x000D_
+7 (499) 263-62-16_x000D_
+7 (499) 263-62-52_x000D_
+7 (499) 263-69-56_x000D_
+7 (499) 267-17-93_x000D_
+7 (499) 267-74-15_x000D_
+7 (499) 499-26-15, доб 225_x000D_
+7 (499) 499-26-77, доб 985_x000D_
+7 (86638) 7-86-49_x000D_
+7 (495) 263-63-91_x000D_
+7 (499) 263-64-64_x000D_
+7 (495) 958-27-43_x000D_
+7 (495) 120-30-75_x000D_
+7 (919) 964-30-30_x000D_
+7 (49622) 6-92-17_x000D_
+7 (495) 104-25-88_x000D_
+7 (499) 263-68-07_x000D_
+7 (499) 263-68-46_x000D_
+7 (499) 203-63-91_x000D_
+7 (499) 263-65-31_x000D_
+7 (916) 714-31-74_x000D_
+7 (495) 632-23-18_x000D_
+7 (499) 263-61-58_x000D_
+7 (499) 500-00-05_x000D_
+7 (499) 263-67-93_x000D_
+7 (499) 263-68-11_x000D_
+7 (499) 263-68-16_x000D_
+7 (499) 263-69-55_x000D_
+7 (499) 263-64-75_x000D_
+7 (495) 261-86-44_x000D_
+7 (499) 263-61-15_x000D_
+7 (495) 261-17-43_x000D_
+7 (87145) 2-36-54, доб 1_x000D_
+7 (919) 728-75-18_x000D_
+7 (499) 267-86-40_x000D_
+7 (499) 263-60-45_x000D_
+7 (495) 654-89-71_x000D_
+7 (495) 267-48-44_x000D_
+7 (499) 263-61-93_x000D_
+7 (499) 263-67-30_x000D_
+7 (499) 263-60-36_x000D_
+7 (495) 632-22-47_x000D_
+7 (499) 263-69-50_x000D_
+7 (499) 367-09-63_x000D_
+7 (499) 643-26-36, доб 798_x000D_
+7 (495) 993-95-91_x000D_
+7 (495) 263-67-85_x000D_
+7 (499) 261-61-63_x000D_
+7 (499) 267-00-63_x000D_
+7 (985) 786-12-21_x000D_
+7 (499) 263-67-91_x000D_
+7 (499) 261-34-85_x000D_
+7 (499) 263-64-11_x000D_
+7 (916) 847-12-59_x000D_
+7 (499) 263-65-41_x000D_
+7 (499) 263-61-98_x000D_
+7 (495) 263-62-55_x000D_
+7 (495) 263-64-63_x000D_
+7 (499) 263-66-87_x000D_
+7 (499) 263-65-23_x000D_
+7 (499) 263-64-45_x000D_
+7 (499) 267-89-03_x000D_
+7 (499) 261-45-70_x000D_
+7 (495) 548-45-13, доб 2_x000D_
+7 (499) 263-63-65_x000D_
+7 (495) 958-24-65_x000D_
+7 (499) 166-54-23_x000D_
+7 (905) 903-56-97_x000D_
+7 (4842) 22-05-99_x000D_
+7 (499) 261-67-19_x000D_
+7 (926) 233-42-43_x000D_
+7 (905) 575-01-54_x000D_
+7 (499) 267-72-23_x000D_
+7 (499) 261-00-85</t>
  </si>
  <si>
    <t>http://df.bmstu.ru/_x000D_
http://mf.bmstu.ru/_x000D_
http://bmstu.ru/_x000D_
http://bmstu-kaluga.ru/_x000D_
_x000D_
http://aerospjournal.ru/_x000D_
http://ebooks-bmstu.ru/_x000D_
http://engbul.bmstu.ru/_x000D_
http://engjournal.bmstu.ru/_x000D_
http://hmbul.bmstu.ru/_x000D_
http://maplantsjournal.ru/_x000D_
http://mathmjournal.ru/_x000D_
http://ptsj.ru/_x000D_
http://radiooptics.ru/_x000D_
http://sntbul.bmstu.ru/</t>
  </si>
  <si>
    <t>https://kad.arbitr.ru/Card/66ecdf51-6b42-409d-9618-28667b8c9973</t>
  </si>
  <si>
    <t>А41-14804/2024</t>
  </si>
  <si>
    <t>ООО ЧОО "Спец-Групп"</t>
  </si>
  <si>
    <t>7727687727</t>
  </si>
  <si>
    <t>МГТУ им. Н.Э. Баумана</t>
  </si>
  <si>
    <t>7701002520</t>
  </si>
  <si>
    <t>Гордин Михаил Валерьевич</t>
  </si>
  <si>
    <t>771912016268</t>
  </si>
  <si>
    <t>105005, город Москва, 2-Я Бауманская ул, д. 5 стр. 1</t>
  </si>
  <si>
    <t>ОБЩЕСТВО С ОГРАНИЧЕННОЙ ОТВЕТСТВЕННОСТЬЮ ЧАСТНАЯ ОХРАННАЯ ОРГАНИЗАЦИЯ "СПЕЦ-ГРУПП"</t>
  </si>
  <si>
    <t>ФЕДЕРАЛЬНОЕ ГОСУДАРСТВЕННОЕ БЮДЖЕТНОЕ ОБРАЗОВАТЕЛЬНОЕ УЧРЕЖДЕНИЕ ВЫСШЕГО ОБРАЗОВАНИЯ "МОСКОВСКИЙ ГОСУДАРСТВЕННЫЙ ТЕХНИЧЕСКИЙ УНИВЕРСИТЕТ ИМЕНИ Н.Э. БАУМАНА (НАЦИОНАЛЬНЫЙ ИССЛЕДОВАТЕЛЬСКИЙ УНИВЕРСИТЕТ)"</t>
  </si>
  <si>
    <t>https://kad.arbitr.ru/Card/416e5689-86ce-4e96-8444-172034744f5d</t>
  </si>
  <si>
    <t>А41-14803/2024</t>
  </si>
  <si>
    <t>ООО "Форт+"</t>
  </si>
  <si>
    <t>5047038288</t>
  </si>
  <si>
    <t>ИП Картолинская Наталия Алексеевна</t>
  </si>
  <si>
    <t>781425495320</t>
  </si>
  <si>
    <t>Картолинская Наталия Алексеевна</t>
  </si>
  <si>
    <t>141421, Россия, Московская область, г. ХИМКИ, СХОДНЯ микрорайон, ул. ГОРНАЯ, д. 24А</t>
  </si>
  <si>
    <t>ОБЩЕСТВО С ОГРАНИЧЕННОЙ ОТВЕТСТВЕННОСТЬЮ "ФОРТ+"</t>
  </si>
  <si>
    <t>https://kad.arbitr.ru/Card/e50a8cd8-dc6c-4b4a-b40c-e867fbd1d63a</t>
  </si>
  <si>
    <t>А40-36102/2024</t>
  </si>
  <si>
    <t>ООО "РГП"</t>
  </si>
  <si>
    <t>8603103515</t>
  </si>
  <si>
    <t>ОБЩЕСТВО С ОГРАНИЧЕННОЙ ОТВЕТСТВЕННОСТЬЮ "РЕГИОНАЛЬНЫЕ ГРУЗОПЕРЕВОЗКИ"</t>
  </si>
  <si>
    <t>agromarka-profi@mail.ru</t>
  </si>
  <si>
    <t>https://kad.arbitr.ru/Card/69c73a3f-5b09-4ef0-93f6-a2b2156112c2</t>
  </si>
  <si>
    <t>А40-36128/2024</t>
  </si>
  <si>
    <t>ИП Паскевич Олег Владимирович</t>
  </si>
  <si>
    <t>681500470405</t>
  </si>
  <si>
    <t>ООО "Арогомир"</t>
  </si>
  <si>
    <t>9724123934</t>
  </si>
  <si>
    <t>Баронин Алексей Сергеевич</t>
  </si>
  <si>
    <t>773127950210</t>
  </si>
  <si>
    <t>115201, город Москва, Старокаширское ш, д. 2 к. 4, помещ. 2/1</t>
  </si>
  <si>
    <t>Предоставление услуг по перевозкам (49.42)</t>
  </si>
  <si>
    <t>ОБЩЕСТВО С ОГРАНИЧЕННОЙ ОТВЕТСТВЕННОСТЬЮ "АРГОМИР"</t>
  </si>
  <si>
    <t>+7 (926) 827-77-39</t>
  </si>
  <si>
    <t>https://kad.arbitr.ru/Card/962ea9e6-b6a7-48f1-bddb-00e5c792a2f7</t>
  </si>
  <si>
    <t>А41-14785/2024</t>
  </si>
  <si>
    <t>ООО "Модум-Транс"</t>
  </si>
  <si>
    <t>6623074298</t>
  </si>
  <si>
    <t>ООО "Сибантрацит Логистика"</t>
  </si>
  <si>
    <t>7743100329</t>
  </si>
  <si>
    <t>Умрихин Михаил Николаевич</t>
  </si>
  <si>
    <t>481801116917</t>
  </si>
  <si>
    <t>121351, город Москва, ул Боженко, д. 9, помещ. 3/1</t>
  </si>
  <si>
    <t>Транспортная обработка грузов (52.24)</t>
  </si>
  <si>
    <t>ОБЩЕСТВО С ОГРАНИЧЕННОЙ ОТВЕТСТВЕННОСТЬЮ "МОДУМ-ТРАНС"</t>
  </si>
  <si>
    <t>ОБЩЕСТВО С ОГРАНИЧЕННОЙ ОТВЕТСТВЕННОСТЬЮ "СИБАНТРАЦИТ ЛОГИСТИКА"</t>
  </si>
  <si>
    <t>vinogradoova@mail.ru</t>
  </si>
  <si>
    <t>+7 (4725) 46-99-17_x000D_
+7 (4725) 43-99-17_x000D_
+7 (4725) 43-99-18</t>
  </si>
  <si>
    <t>https://kad.arbitr.ru/Card/8a350ea0-5362-452c-81cb-694a3f157a2c</t>
  </si>
  <si>
    <t>А41-14800/2024</t>
  </si>
  <si>
    <t>АО "Цемрос"</t>
  </si>
  <si>
    <t>7708117908</t>
  </si>
  <si>
    <t>ООО "Промсервис"</t>
  </si>
  <si>
    <t>3128033140</t>
  </si>
  <si>
    <t>Белянина Надежда Дмитриевна</t>
  </si>
  <si>
    <t>312809506208</t>
  </si>
  <si>
    <t>309514, Белгородская область, город Старый Оскол, пл-ка Производственная Проезд-3 (Юз П/Р Промзона), д.58 к.1</t>
  </si>
  <si>
    <t>АКЦИОНЕРНОЕ ОБЩЕСТВО "ЦЕМРОС"</t>
  </si>
  <si>
    <t>ОБЩЕСТВО С ОГРАНИЧЕННОЙ ОТВЕТСТВЕННОСТЬЮ "ПРОМСЕРВИС"</t>
  </si>
  <si>
    <t>zemcova@oeg.gazprom.ru_x000D_
n.gubernatorova@oeg.gazprom.ru_x000D_
oeg@oeg.gazprom.ru_x000D_
u.borisova@oeg.gazprom.ru</t>
  </si>
  <si>
    <t>+7 (495) 355-90-57_x000D_
+7 (495) 355-91-12_x000D_
+7 (499) 580-07-92_x000D_
+7 (812) 374-24-40_x000D_
+7 (8612) 34-46-60_x000D_
+7 (495) 355-90-50_x000D_
+7 (8612) 31-09-65_x000D_
+7 (495) 355-93-28_x000D_
+7 (499) 580-07-93_x000D_
+7 (495) 276-00-51_x000D_
+7 (495) 355-90-80_x000D_
+7 (495) 355-91-04_x000D_
+7 (812) 455-19-87_x000D_
+7 (831) 433-14-26_x000D_
+7 (86350) 3-23-26_x000D_
+7 (920) 070-04-82_x000D_
+7 (495) 355-91-00_x000D_
+7 (495) 549-03-11_x000D_
+7 (495) 355-90-72_x000D_
+7 (495) 355-93-24_x000D_
+7 (495) 355-90-54_x000D_
+7 (495) 355-92-83_x000D_
+7 (498) 657-91-80_x000D_
+7 (495) 355-93-29_x000D_
+7 (499) 580-07-24_x000D_
+7 (495) 424-61-39_x000D_
+7 (498) 657-45-55_x000D_
+7 (495) 287-37-25_x000D_
+7 (495) 355-92-23_x000D_
+7 (495) 335-91-12_x000D_
+7 (495) 335-93-28_x000D_
+7 (499) 580-07-00_x000D_
+7 (42335) 5-92-60_x000D_
+7 (495) 549-03-11, доб 7756_x000D_
+7 (495) 775-64-23, доб 54_x000D_
+7 (903) 117-75-64, доб 39_x000D_
+7 (495) 355-93-22_x000D_
+7 (499) 580-07-90</t>
  </si>
  <si>
    <t>http://orgenergogaz.gazprom.ru/_x000D_
http://www.e-disclosure.ru/portal/company.aspx?id=7060_x000D_
http://www.oeg.ru/</t>
  </si>
  <si>
    <t>https://kad.arbitr.ru/Card/5967e7c0-1aa2-45cd-8e3c-9ed4605b7315</t>
  </si>
  <si>
    <t>А40-35979/2024</t>
  </si>
  <si>
    <t>ООО "КПД Сервис"</t>
  </si>
  <si>
    <t>9702030235</t>
  </si>
  <si>
    <t>АО "Оргэнергогаз"</t>
  </si>
  <si>
    <t>5003000696</t>
  </si>
  <si>
    <t>Фуркин Алексей Владимирович</t>
  </si>
  <si>
    <t>110209380265</t>
  </si>
  <si>
    <t>115304, город Москва, Луганская ул., д.11</t>
  </si>
  <si>
    <t>ОБЩЕСТВО С ОГРАНИЧЕННОЙ ОТВЕТСТВЕННОСТЬЮ "КПД СЕРВИС"</t>
  </si>
  <si>
    <t>АКЦИОНЕРНОЕ ОБЩЕСТВО "ОРГЭНЕРГОГАЗ"</t>
  </si>
  <si>
    <t>https://kad.arbitr.ru/Card/0ba491e0-45ad-4d48-b17a-35b2d08576dd</t>
  </si>
  <si>
    <t>А41-14802/2024</t>
  </si>
  <si>
    <t>МУП "Подольская Теплосеть"</t>
  </si>
  <si>
    <t>5036002770</t>
  </si>
  <si>
    <t>142117, Россия, Московская область, г. Подольск, ул. Гайдара, д. 11</t>
  </si>
  <si>
    <t>МУНИЦИПАЛЬНОЕ УНИТАРНОЕ ПРЕДПРИЯТИЕ ГОРОДСКОГО ОКРУГА ПОДОЛЬСК "ПОДОЛЬСКАЯ ТЕПЛОСЕТЬ"</t>
  </si>
  <si>
    <t>lube_buch@mail.ru_x000D_
notarius_lubertsy@mail.ru_x000D_
ur-o@mail.ru</t>
  </si>
  <si>
    <t>+7 (495) 111-11-11_x000D_
+7 (495) 558-64-02_x000D_
+7 (495) 558-64-36_x000D_
+7 (495) 558-68-23_x000D_
+7 (495) 558-64-54_x000D_
+7 (495) 503-21-09_x000D_
+7 (495) 558-64-77</t>
  </si>
  <si>
    <t>https://kad.arbitr.ru/Card/4c8198fd-ffe2-4f0f-bff9-a10ea2f5b484</t>
  </si>
  <si>
    <t>А41-14816/2024</t>
  </si>
  <si>
    <t>ООО "Любэнергоснаб"</t>
  </si>
  <si>
    <t>5027098306</t>
  </si>
  <si>
    <t>Симоненко Владимир Алексеевич</t>
  </si>
  <si>
    <t>772155007165</t>
  </si>
  <si>
    <t>140000, Московская область, город Люберцы, Красная ул., д. 1 литера я</t>
  </si>
  <si>
    <t>ОБЩЕСТВО С ОГРАНИЧЕННОЙ ОТВЕТСТВЕННОСТЬЮ "ЛЮБЭНЕРГОСНАБ"</t>
  </si>
  <si>
    <t>5617028@ya.ru_x000D_
hr@sokol-keram.ru_x000D_
inter@sokolkeram.ru</t>
  </si>
  <si>
    <t>+7 (495) 994-57-87_x000D_
+7 (495) 561-72-60_x000D_
+7 (49831) 7-71-21_x000D_
+7 (495) 561-72-98_x000D_
+7 (495) 994-57-87, доб 216_x000D_
+7 (495) 561-70-28_x000D_
+7 (495) 561-71-04</t>
  </si>
  <si>
    <t>https://kad.arbitr.ru/Card/71178a30-64c3-4c2b-b10e-84624a4e5ec3</t>
  </si>
  <si>
    <t>А41-14821/2024</t>
  </si>
  <si>
    <t>АО "Сокол"</t>
  </si>
  <si>
    <t>5017014522</t>
  </si>
  <si>
    <t>Забара Илья Александрович</t>
  </si>
  <si>
    <t>501719072176</t>
  </si>
  <si>
    <t>143532, Московская область, Истринский район, город Дедовск, Керамическая ул., д.24</t>
  </si>
  <si>
    <t>АКЦИОНЕРНОЕ ОБЩЕСТВО "СОКОЛ"</t>
  </si>
  <si>
    <t>+7 (916) 154-02-28</t>
  </si>
  <si>
    <t>https://kad.arbitr.ru/Card/4667dc57-3910-4dd0-b494-5375d771d69e</t>
  </si>
  <si>
    <t>А40-35477/2024</t>
  </si>
  <si>
    <t>Минприроды Тверской области</t>
  </si>
  <si>
    <t>6950015221</t>
  </si>
  <si>
    <t>ООО "Битумастик"</t>
  </si>
  <si>
    <t>9715295038</t>
  </si>
  <si>
    <t>Лисякова Татьяна Павловна</t>
  </si>
  <si>
    <t>771474731164</t>
  </si>
  <si>
    <t>117208, город Москва, Чертановская ул, д. 7а, помещ. 23п</t>
  </si>
  <si>
    <t>Производство битуминозных смесей на основе природного асфальта или битума, нефтяного битума, минеральных смол или их пеков (23.99.3)</t>
  </si>
  <si>
    <t>МИНИСТЕРСТВО ПРИРОДНЫХ РЕСУРСОВ И ЭКОЛОГИИ ТВЕРСКОЙ ОБЛАСТИ</t>
  </si>
  <si>
    <t>ОБЩЕСТВО С ОГРАНИЧЕННОЙ ОТВЕТСТВЕННОСТЬЮ "БИТУМАСТИК"</t>
  </si>
  <si>
    <t>kolomna@mosreg.ru</t>
  </si>
  <si>
    <t>+7 (49670) 2-15-03_x000D_
+7 (495) 000-00-00</t>
  </si>
  <si>
    <t>https://kad.arbitr.ru/Card/3ce0da29-3a51-4f89-84a1-e3769a1e648a</t>
  </si>
  <si>
    <t>А41-14822/2024</t>
  </si>
  <si>
    <t>ООО "ЮМА"</t>
  </si>
  <si>
    <t>5022039748</t>
  </si>
  <si>
    <t>Администрация городского округа Коломна</t>
  </si>
  <si>
    <t>5022062384</t>
  </si>
  <si>
    <t>Гречищев Александр Владимирович</t>
  </si>
  <si>
    <t>501102866820</t>
  </si>
  <si>
    <t>140407, Московская область, г Коломна, Советская пл, д. 1, помещ. 514</t>
  </si>
  <si>
    <t>Деятельность органов местного самоуправления городских округов (84.11.35)</t>
  </si>
  <si>
    <t>ОБЩЕСТВО С ОГРАНИЧЕННОЙ ОТВЕТСТВЕННОСТЬЮ "ЮМА"</t>
  </si>
  <si>
    <t>АДМИНИСТРАЦИЯ ГОРОДСКОГО ОКРУГА КОЛОМНА МОСКОВСКОЙ ОБЛАСТИ</t>
  </si>
  <si>
    <t>https://kad.arbitr.ru/Card/adedc589-c541-403b-bff5-6faf914848be</t>
  </si>
  <si>
    <t>А41-14830/2024</t>
  </si>
  <si>
    <t>ООО "НЭК"</t>
  </si>
  <si>
    <t>7708799792</t>
  </si>
  <si>
    <t>ООО "Корпорация Электросети"</t>
  </si>
  <si>
    <t>7107137346</t>
  </si>
  <si>
    <t>Огиенко Владимир Петрович</t>
  </si>
  <si>
    <t>711302237275</t>
  </si>
  <si>
    <t>300012, Тульская область, город Тула, ул. Тимирязева, д. 99в, офис 201, второй этаж</t>
  </si>
  <si>
    <t>Торговля оптовая производственным электротехническим оборудованием, машинами, аппаратурой и материалами (46.69.5)</t>
  </si>
  <si>
    <t>ОБЩЕСТВО С ОГРАНИЧЕННОЙ ОТВЕТСТВЕННОСТЬЮ "НЭК"</t>
  </si>
  <si>
    <t>ОБЩЕСТВО С ОГРАНИЧЕННОЙ ОТВЕТСТВЕННОСТЬЮ "КОРПОРАЦИЯ ЭЛЕКТРОСЕТИ"</t>
  </si>
  <si>
    <t>+7 (495) 230-65-50_x000D_
+7 (925) 208-28-56</t>
  </si>
  <si>
    <t>https://kad.arbitr.ru/Card/a51cd1b9-ad36-45fc-b6b6-66357c08258d</t>
  </si>
  <si>
    <t>А41-14818/2024</t>
  </si>
  <si>
    <t>ЗАО "Лагуна-Грин"</t>
  </si>
  <si>
    <t>7710637615</t>
  </si>
  <si>
    <t>Суббота Элина Ахмедхановна</t>
  </si>
  <si>
    <t>502724910361</t>
  </si>
  <si>
    <t>143421, Московская область, Красногорский район, поселок Ильинское-Усово, Александра Невского Пр, д.1</t>
  </si>
  <si>
    <t>ЗАКРЫТОЕ АКЦИОНЕРНОЕ ОБЩЕСТВО "ЛАГУНА-ГРИН"</t>
  </si>
  <si>
    <t>dyachuk.av@gpte.ru</t>
  </si>
  <si>
    <t>+7 (495) 540-84-25_x000D_
+7 (495) 428-44-30, доб 2831_x000D_
+7 (495) 428-44-30, доб 2358_x000D_
+7 (495) 994-10-77_x000D_
+7 (495) 540-84-25, доб 5110_x000D_
+7 (495) 775-90-90_x000D_
+7 (495) 777-77-77_x000D_
+7 (495) 540-84-55_x000D_
+7 (498) 526-32-65_x000D_
+7 (926) 361-57-51_x000D_
+7 (4967) 70-52-38_x000D_
+7 (495) 540-84-25, доб 5410_x000D_
+7 (926) 407-30-66_x000D_
+7 (49653) 5-84-99_x000D_
+7 (495) 451-92-36_x000D_
+7 (4967) 75-09-19_x000D_
+7 (4967) 75-08-67_x000D_
+7 (4967) 75-43-38_x000D_
+7 (495) 540-84-25, доб 5310_x000D_
+7 (495) 933-38-70_x000D_
+7 (925) 360-89-20_x000D_
+7 (495) 540-84-25, доб 105_x000D_
+7 (49654) 1-26-50_x000D_
+7 (966) 775-09-19_x000D_
+7 (49654) 9-23-53_x000D_
+7 (495) 542-66-85_x000D_
+7 (495) 985-41-78_x000D_
+7 (495) 985-47-88_x000D_
+7 (495) 540-84-25, доб 5611_x000D_
+7 (495) 540-84-25, доб 5613_x000D_
+7 (926) 360-89-20_x000D_
+7 (495) 361-37-82_x000D_
+7 (495) 495-01-45_x000D_
+7 (495) 993-38-70_x000D_
+7 (4967) 75-09-05_x000D_
+7 (495) 542-36-56_x000D_
+7 (49654) 7-17-40_x000D_
+7 (4967) 76-09-19, доб 160_x000D_
+7 (926) 410-80-01_x000D_
+7 (495) 540-84-25, доб 541_x000D_
+7 (495) 540-84-22_x000D_
+7 (903) 756-91-81_x000D_
+7 (495) 757-59-95_x000D_
+7 (495) 428-44-30, доб 2832_x000D_
+7 (984) 165-96-31_x000D_
+7 (495) 547-48-79_x000D_
+7 (495) 985-48-78_x000D_
+7 (495) 111-11-11_x000D_
+7 (926) 367-05-48_x000D_
+7 (49654) 5-40-84, доб 25_x000D_
+7 (926) 361-56-59_x000D_
+7 (926) 361-37-82_x000D_
+7 (495) 548-57-95_x000D_
+7 (495) 540-84-25, доб 5610_x000D_
+7 (495) 775-09-19_x000D_
+7 (49624) 5-88-09_x000D_
+7 (49654) 9-23-62_x000D_
+7 (49653) 5-85-05_x000D_
+7 (926) 361-37-80_x000D_
+7 (4967) 77-09-19_x000D_
+7 (4967) 77-77-77_x000D_
+7 (49624) 5-22-09_x000D_
+7 (49654) 0-84-25_x000D_
+7 (49654) 9-23-48_x000D_
+7 (49654) 0-84-25, доб 5410_x000D_
+7 (495) 540-88-25_x000D_
+7 (495) 555-75-00_x000D_
+7 (49653) 5-33-55_x000D_
+7 (499) 555-77-99_x000D_
+7 (910) 202-80-08_x000D_
+7 (4967) 35-57-83_x000D_
+7 (49644) 4-44-44_x000D_
+7 (977) 947-04-45_x000D_
+7 (495) 540-54-25_x000D_
+7 (495) 540-84-85_x000D_
+7 (49654) 0-84-16_x000D_
+7 (495) 965-41-22_x000D_
+7 (49653) 5-85-03_x000D_
+7 (4967) 75-02-01_x000D_
+7 (4967) 39-54-74_x000D_
+7 (49653) 5-26-63_x000D_
+7 (495) 428-44-30_x000D_
+7 (4967) 75-09-23_x000D_
+7 (495) 535-84-99_x000D_
+7 (4967) 39-56-74_x000D_
+7 (967) 121-25-56, доб 55_x000D_
+7 (4967) 75-09-32</t>
  </si>
  <si>
    <t>https://kad.arbitr.ru/Card/77414ee2-5fb6-405a-8a9b-2e6f0a39aa0a</t>
  </si>
  <si>
    <t>А41-14831/2024</t>
  </si>
  <si>
    <t>ООО "Газпром Теплоэнерго МО"</t>
  </si>
  <si>
    <t>5007101649</t>
  </si>
  <si>
    <t>Антонов Игорь Васильевич</t>
  </si>
  <si>
    <t>470408808640</t>
  </si>
  <si>
    <t>142214, Московская область, город Серпухов, Звездная ул., д. 4, помещ. 76</t>
  </si>
  <si>
    <t>Производство пара и горячей воды (тепловой энергии) (35.30.1)</t>
  </si>
  <si>
    <t>ОБЩЕСТВО С ОГРАНИЧЕННОЙ ОТВЕТСТВЕННОСТЬЮ "ГАЗПРОМ ТЕПЛОЭНЕРГО МОСКОВСКАЯ ОБЛАСТЬ"</t>
  </si>
  <si>
    <t>+7 (926) 253-85-76</t>
  </si>
  <si>
    <t>https://kad.arbitr.ru/Card/07a57721-cf53-4b5d-bd8b-0674d1da766f</t>
  </si>
  <si>
    <t>А41-14841/2024</t>
  </si>
  <si>
    <t>СНТ "Покровские Дачи"</t>
  </si>
  <si>
    <t>5030016617</t>
  </si>
  <si>
    <t>Брындина Ольга Николаевна</t>
  </si>
  <si>
    <t>772132281806</t>
  </si>
  <si>
    <t>143322, Московская область, город Наро-Фоминск, деревня Покровка</t>
  </si>
  <si>
    <t>САДОВОДЧЕСКОЕ НЕКОММЕРЧЕСКОЕ ТОВАРИЩЕСТВО "ПОКРОВСКИЕ ДАЧИ"</t>
  </si>
  <si>
    <t>office@rsk.msk.ru_x000D_
notoff-2006@yandex.ru_x000D_
dulskaya@rsk.msk.ru_x000D_
regionstroycompany@mail.ru</t>
  </si>
  <si>
    <t>+7 (495) 150-69-75_x000D_
+7 (903) 978-77-66</t>
  </si>
  <si>
    <t>https://kad.arbitr.ru/Card/e6130d33-0f61-4419-b1ac-28ed27eb949d</t>
  </si>
  <si>
    <t>А40-35272/2024</t>
  </si>
  <si>
    <t>ООО "РСК"</t>
  </si>
  <si>
    <t>7706810472</t>
  </si>
  <si>
    <t>Сакун Борис Владиславович</t>
  </si>
  <si>
    <t>770203240643</t>
  </si>
  <si>
    <t>108813, город Москва, г. Московский, Московская ул, д. 3, помещ. 5/1</t>
  </si>
  <si>
    <t>ОБЩЕСТВО С ОГРАНИЧЕННОЙ ОТВЕТСТВЕННОСТЬЮ "РЕГИОНАЛЬНАЯ СТРОИТЕЛЬНАЯ КОМПАНИЯ"</t>
  </si>
  <si>
    <t>+7 (49634) 3-18-60</t>
  </si>
  <si>
    <t>https://kad.arbitr.ru/Card/3dd6d56f-a75f-4a3a-a1a0-cfb2777711a5</t>
  </si>
  <si>
    <t>А41-14827/2024</t>
  </si>
  <si>
    <t>КИЗ "Лиман"</t>
  </si>
  <si>
    <t>5030004555</t>
  </si>
  <si>
    <t>Лейман Виктор Давыдович</t>
  </si>
  <si>
    <t>772486046221</t>
  </si>
  <si>
    <t>143301, Московская область, город Наро-Фоминск, ул. Учебный центр ВАФ</t>
  </si>
  <si>
    <t>КООПЕРАТИВ ИНДИВИДУАЛЬНЫХ ЗАСТРОЙЩИКОВ "ЛИМАН"</t>
  </si>
  <si>
    <t>https://kad.arbitr.ru/Card/9e711438-b51d-4a18-925b-242baadb3ffe</t>
  </si>
  <si>
    <t>А41-14844/2024</t>
  </si>
  <si>
    <t>СНТ "Ларюшино-2"</t>
  </si>
  <si>
    <t>5032037404</t>
  </si>
  <si>
    <t>Акимов Сергей Владимирович</t>
  </si>
  <si>
    <t>772908609330</t>
  </si>
  <si>
    <t>143031, Московская область, город Одинцово, деревня Ларюшино</t>
  </si>
  <si>
    <t>САДОВОДЧЕСКОЕ НЕКОММЕРЧЕСКОЕ ТОВАРИЩЕСТВО "ЛАРЮШИНО-2"</t>
  </si>
  <si>
    <t>https://kad.arbitr.ru/Card/b0ea45fd-2360-4a84-b143-a9918716c186</t>
  </si>
  <si>
    <t>А41-14849/2024</t>
  </si>
  <si>
    <t>СНТ "Восход-3"</t>
  </si>
  <si>
    <t>5050033836</t>
  </si>
  <si>
    <t>Алексеев Олег Владимирович</t>
  </si>
  <si>
    <t>770501717071</t>
  </si>
  <si>
    <t>141143, Московская область, город Щёлково, деревня Долгое Ледово, Академическая ул., д.6, кв.56</t>
  </si>
  <si>
    <t>САДОВОДЧЕСКОЕ НЕКОММЕРЧЕСКОЕ ТОВАРИЩЕСТВО "ВОСХОД-3"</t>
  </si>
  <si>
    <t>https://kad.arbitr.ru/Card/3aa8d5f0-0126-4e09-b514-df29b84bf994</t>
  </si>
  <si>
    <t>А40-36957/2024</t>
  </si>
  <si>
    <t>ООО "Пегас"</t>
  </si>
  <si>
    <t>7726648683</t>
  </si>
  <si>
    <t>ООО "Фарос Консалт"</t>
  </si>
  <si>
    <t>7743270994</t>
  </si>
  <si>
    <t>Турчина Мария Владимировна</t>
  </si>
  <si>
    <t>391504599528</t>
  </si>
  <si>
    <t>125412, город Москва, Ангарская ул., д. 28 к. 2, эт 1 пом VI ком 1</t>
  </si>
  <si>
    <t>ОБЩЕСТВО С ОГРАНИЧЕННОЙ ОТВЕТСТВЕННОСТЬЮ "ПЕГАС"</t>
  </si>
  <si>
    <t>ОБЩЕСТВО С ОГРАНИЧЕННОЙ ОТВЕТСТВЕННОСТЬЮ "ФАРОС КОНСАЛТ"</t>
  </si>
  <si>
    <t>info.expert@omegamail.org_x000D_
ekspert.vm@gmail.com</t>
  </si>
  <si>
    <t>+7 (495) 773-09-95_x000D_
+7 (499) 999-13-13_x000D_
+7 (985) 731-79-09_x000D_
+7 (985) 185-22-25</t>
  </si>
  <si>
    <t>https://kad.arbitr.ru/Card/6951351b-7eb5-4e83-84fe-977cc3cd79bc</t>
  </si>
  <si>
    <t>А40-36922/2024</t>
  </si>
  <si>
    <t>ООО "Фирма РСУ 15"</t>
  </si>
  <si>
    <t>7727404418</t>
  </si>
  <si>
    <t>ООО "Эксперт"</t>
  </si>
  <si>
    <t>7727301500</t>
  </si>
  <si>
    <t>Пенягина Галина Михайловна</t>
  </si>
  <si>
    <t>081402036225</t>
  </si>
  <si>
    <t>129110, город Москва, ул Гиляровского, д. 57 стр. 1</t>
  </si>
  <si>
    <t>ОБЩЕСТВО С ОГРАНИЧЕННОЙ ОТВЕТСТВЕННОСТЬЮ "ФИРМА РСУ 15"</t>
  </si>
  <si>
    <t>ОБЩЕСТВО С ОГРАНИЧЕННОЙ ОТВЕТСТВЕННОСТЬЮ "ЭКСПЕРТ"</t>
  </si>
  <si>
    <t>p.larin-cmz@mail.ru_x000D_
mp.nazar@mail.ru_x000D_
naz@mail.ru</t>
  </si>
  <si>
    <t>+7 (495) 634-11-38_x000D_
+7 (495) 634-03-52_x000D_
+7 (495) 111-11-11_x000D_
+7 (495) 222-96-30_x000D_
+7 (495) 564-87-43_x000D_
+7 (495) 634-03-54_x000D_
+7 (495) 637-60-27_x000D_
+7 (495) 634-03-53_x000D_
+7 (495) 345-73-00_x000D_
+7 (495) 634-14-36_x000D_
+7 (926) 263-77-33_x000D_
+7 (495) 000-00-00</t>
  </si>
  <si>
    <t>https://kad.arbitr.ru/Card/05c13516-f8f6-4636-a843-35f22dd51cc5</t>
  </si>
  <si>
    <t>А41-14861/2024</t>
  </si>
  <si>
    <t>МУП "ЖКХ Назарьево"</t>
  </si>
  <si>
    <t>5032272535</t>
  </si>
  <si>
    <t>Чижов Иван Владимирович</t>
  </si>
  <si>
    <t>772916555287</t>
  </si>
  <si>
    <t>143021, Московская область, город Одинцово, поселок Матвейково, стр. 1</t>
  </si>
  <si>
    <t>МУНИЦИПАЛЬНОЕ УНИТАРНОЕ ПРЕДПРИЯТИЕ "ЖИЛИЩНО-КОММУНАЛЬНОЕ ХОЗЯЙСТВО НАЗАРЬЕВО"</t>
  </si>
  <si>
    <t>+7 (4967) 44-14-01</t>
  </si>
  <si>
    <t>https://kad.arbitr.ru/Card/df09a9b8-f36c-4571-b3cd-f34dd474c0c7</t>
  </si>
  <si>
    <t>А41-14863/2024</t>
  </si>
  <si>
    <t>ООО "Еврострой-Тара"</t>
  </si>
  <si>
    <t>5050043136</t>
  </si>
  <si>
    <t>Холод Александр Николаевич</t>
  </si>
  <si>
    <t>550701060652</t>
  </si>
  <si>
    <t>141108, Московская область, город Щёлково, Заводская ул., д.2</t>
  </si>
  <si>
    <t>Производство пластмассовых плит, полос, труб и профилей (22.21)</t>
  </si>
  <si>
    <t>ОБЩЕСТВО С ОГРАНИЧЕННОЙ ОТВЕТСТВЕННОСТЬЮ "ЕВРОСТРОЙ-ТАРА"</t>
  </si>
  <si>
    <t>info@neboskrebgb.ru</t>
  </si>
  <si>
    <t>+7 (495) 782-15-00</t>
  </si>
  <si>
    <t>https://kad.arbitr.ru/Card/9cf21488-2517-4b40-adbf-42294abfad02</t>
  </si>
  <si>
    <t>А40-36575/2024</t>
  </si>
  <si>
    <t>ООО "БСТ-Групп"</t>
  </si>
  <si>
    <t>7716942252</t>
  </si>
  <si>
    <t>ООО "Небоскреб Групп"</t>
  </si>
  <si>
    <t>7733238504</t>
  </si>
  <si>
    <t>Пичугина Наталья Викторовна</t>
  </si>
  <si>
    <t>164800625232</t>
  </si>
  <si>
    <t>115035, город Москва, Садовническая ул, д. 78 стр. 5, помещ. 1-7,13,14</t>
  </si>
  <si>
    <t>Деятельность в области архитектуры, связанная с созданием архитектурного объекта (71.11.1)</t>
  </si>
  <si>
    <t>ОБЩЕСТВО С ОГРАНИЧЕННОЙ ОТВЕТСТВЕННОСТЬЮ "БСТ-ГРУПП"</t>
  </si>
  <si>
    <t>ОБЩЕСТВО С ОГРАНИЧЕННОЙ ОТВЕТСТВЕННОСТЬЮ "НЕБОСКРЕБ ГРУПП"</t>
  </si>
  <si>
    <t>https://kad.arbitr.ru/Card/b5e5f09f-d751-41e0-bf53-81eb904b330e</t>
  </si>
  <si>
    <t>А40-36571/2024</t>
  </si>
  <si>
    <t>ООО "Гидрафлекс 24"</t>
  </si>
  <si>
    <t>9729276490</t>
  </si>
  <si>
    <t>ОБЩЕСТВО С ОГРАНИЧЕННОЙ ОТВЕТСТВЕННОСТЬЮ "ГИДРАФЛЕКС 24"</t>
  </si>
  <si>
    <t>tender@ilyushin.ne_x000D_
7714027882@mai.ru_x000D_
951il76@ilyushin.net_x000D_
95lil76@ilyushin.net_x000D_
adamovicheb@ilyushin.org_x000D_
bogomolovanv@ilyushin.org_x000D_
ilyushin@online.ru_x000D_
info@ilyushin.net_x000D_
info@ilyushin.org_x000D_
info@ilyushin.ru_x000D_
maksimenkoav@ilyushin.net_x000D_
markovaev@ilyushin.net_x000D_
tender@ilyushin.net_x000D_
transcom950@ilyushin.net_x000D_
transcom950@ilyushin.org_x000D_
transcom@ilyushin.ru</t>
  </si>
  <si>
    <t>+7 (499) 157-55-28_x000D_
+7 (495) 556-56-39_x000D_
+7 (495) 943-41-21_x000D_
+7 (495) 943-80-90_x000D_
+7 (495) 943-81-21_x000D_
+7 (495) 943-84-12_x000D_
+7 (499) 943-80-21_x000D_
+7 (499) 943-80-84_x000D_
+7 (499) 943-80-90_x000D_
+7 (499) 943-81-17_x000D_
+7 (499) 943-81-21_x000D_
+7 (499) 943-82-62_x000D_
+7 (499) 943-82-64_x000D_
+7 (499) 943-82-75_x000D_
+7 (499) 943-82-85_x000D_
+7 (499) 943-84-00_x000D_
+7 (499) 943-84-80_x000D_
+7 (495) 943-81-16_x000D_
+7 (499) 943-81-12_x000D_
+7 (495) 943-82-62_x000D_
+7 (499) 943-80-40_x000D_
+7 (495) 020-00-00_x000D_
+7 (499) 943-81-60_x000D_
+7 (499) 943-82-87_x000D_
+7 (499) 943-82-74_x000D_
+7 (499) 653-51-99_x000D_
+7 (499) 943-81-48_x000D_
+7 (495) 926-14-20_x000D_
+7 (4732) 44-88-00_x000D_
+7 (4732) 44-89-18_x000D_
+7 (4732) 49-94-39_x000D_
+7 (4732) 49-91-11_x000D_
+7 (4732) 48-84-87_x000D_
+7 (4732) 44-85-04_x000D_
+7 (495) 000-00-10_x000D_
+7 (8422) 28-78-29_x000D_
+7 (4732) 44-86-66_x000D_
+7 (3473) 24-88-77, доб 8_x000D_
+7 (4732) 44-89-81_x000D_
+7 (4732) 44-87-03_x000D_
+7 (4732) 49-57-89_x000D_
+7 (3473) 24-88-49, доб 2_x000D_
+7 (4732) 49-94-13_x000D_
+7 (495) 943-81-48_x000D_
+7 (3473) 24-48-98, доб 1_x000D_
+7 (495) 612-21-32_x000D_
+7 (495) 934-84-00_x000D_
+7 (4732) 24-86-66_x000D_
+7 (499) 000-00-10_x000D_
+7 (4732) 44-85-01_x000D_
+7 (8422) 28-10-22_x000D_
+7 (495) 664-76-76_x000D_
+7 (495) 943-80-40_x000D_
+7 (495) 557-49-99_x000D_
+7 (499) 943-83-30_x000D_
+7 (495) 943-82-75_x000D_
+7 (915) 384-35-40</t>
  </si>
  <si>
    <t>https://kad.arbitr.ru/Card/5e55c47c-237b-4b87-8098-607a4aeeee19</t>
  </si>
  <si>
    <t>А40-36553/2024</t>
  </si>
  <si>
    <t>АО "УАП "Гидравлика"</t>
  </si>
  <si>
    <t>0278179819</t>
  </si>
  <si>
    <t>ПАО "ИЛ"</t>
  </si>
  <si>
    <t>7714027882</t>
  </si>
  <si>
    <t>125167, город Москва, Ленинградский пр-кт, д.45г</t>
  </si>
  <si>
    <t>АКЦИОНЕРНОЕ ОБЩЕСТВО "УФИМСКОЕ АГРЕГАТНОЕ ПРЕДПРИЯТИЕ "ГИДРАВЛИКА"</t>
  </si>
  <si>
    <t>ПУБЛИЧНОЕ АКЦИОНЕРНОЕ ОБЩЕСТВО "АВИАЦИОННЫЙ КОМПЛЕКС ИМ. С.В. ИЛЬЮШИНА"</t>
  </si>
  <si>
    <t>https://kad.arbitr.ru/Card/a7a1c72d-2913-454e-8cf6-7495c1d96105</t>
  </si>
  <si>
    <t>А40-36545/2024</t>
  </si>
  <si>
    <t>ПАО "Акрон"</t>
  </si>
  <si>
    <t>5321029508</t>
  </si>
  <si>
    <t>ПУБЛИЧНОЕ АКЦИОНЕРНОЕ ОБЩЕСТВО "АКРОН"</t>
  </si>
  <si>
    <t>https://kad.arbitr.ru/Card/3960a8b8-1b3f-43cf-b975-cfee4f3fe319</t>
  </si>
  <si>
    <t>А40-36493/2024</t>
  </si>
  <si>
    <t>ООО "Крымпрофсталь"</t>
  </si>
  <si>
    <t>9102185484</t>
  </si>
  <si>
    <t>ООО "ТД Металл Полимер"</t>
  </si>
  <si>
    <t>7724462549</t>
  </si>
  <si>
    <t>Котов Виталий Анатольевич</t>
  </si>
  <si>
    <t>772500642839</t>
  </si>
  <si>
    <t>115230, город Москва, Хлебозаводский пр-д, д. 7 стр. 9, эт 3 пом х ком 31</t>
  </si>
  <si>
    <t>ОБЩЕСТВО С ОГРАНИЧЕННОЙ ОТВЕТСТВЕННОСТЬЮ "КРЫМПРОФСТАЛЬ"</t>
  </si>
  <si>
    <t>ОБЩЕСТВО С ОГРАНИЧЕННОЙ ОТВЕТСТВЕННОСТЬЮ "ТОРГОВЫЙ ДОМ МЕТАЛЛ ПОЛИМЕР"</t>
  </si>
  <si>
    <t>https://kad.arbitr.ru/Card/290280ce-5e05-4e9a-ab7e-75fd04159921</t>
  </si>
  <si>
    <t>А40-36469/2024</t>
  </si>
  <si>
    <t>ООО "Спснаб"</t>
  </si>
  <si>
    <t>7719476546</t>
  </si>
  <si>
    <t>ООО"Диамант"</t>
  </si>
  <si>
    <t>7820035701</t>
  </si>
  <si>
    <t>Карпов Николай Владимирович</t>
  </si>
  <si>
    <t>591111634407</t>
  </si>
  <si>
    <t>196600, город Санкт-Петербург, город Пушкин, ул. Глинки, д.12, кв.10</t>
  </si>
  <si>
    <t>ОБЩЕСТВО С ОГРАНИЧЕННОЙ ОТВЕТСТВЕННОСТЬЮ "СПЕЦПРОМСНАБ"</t>
  </si>
  <si>
    <t>ОБЩЕСТВО С ОГРАНИЧЕННОЙ ОТВЕТСТВЕННОСТЬЮ"ДИАМАНТ"</t>
  </si>
  <si>
    <t>info@format.msk.ru_x000D_
kna494@mail.ru</t>
  </si>
  <si>
    <t>+7 (495) 783-68-66</t>
  </si>
  <si>
    <t>https://kad.arbitr.ru/Card/e25cc40f-caab-440a-b861-fda044b7f329</t>
  </si>
  <si>
    <t>А40-36486/2024</t>
  </si>
  <si>
    <t>ООО "Восток-Гео"</t>
  </si>
  <si>
    <t>6500004861</t>
  </si>
  <si>
    <t>ООО "Формат"</t>
  </si>
  <si>
    <t>7707828480</t>
  </si>
  <si>
    <t>Ефимов Владислав Иванович</t>
  </si>
  <si>
    <t>691102515621</t>
  </si>
  <si>
    <t>125124, город Москва, ул. 3-Я Ямского Поля, д. 2 к. 7, эт 3 пом х ком 13</t>
  </si>
  <si>
    <t>Деятельность в области архитектуры, инженерных изысканий и предоставление технических консультаций в этих областях (71.1)</t>
  </si>
  <si>
    <t>ОБЩЕСТВО С ОГРАНИЧЕННОЙ ОТВЕТСТВЕННОСТЬЮ "ВОСТОК-ГЕО"</t>
  </si>
  <si>
    <t>ОБЩЕСТВО С ОГРАНИЧЕННОЙ ОТВЕТСТВЕННОСТЬЮ "ФОРМАТ"</t>
  </si>
  <si>
    <t>https://kad.arbitr.ru/Card/df2c30a0-fd1c-4ea2-b8e7-484d7456de7f</t>
  </si>
  <si>
    <t>А40-36342/2024</t>
  </si>
  <si>
    <t>mar-bachurova@yandex.ru</t>
  </si>
  <si>
    <t>+7 (926) 521-92-11</t>
  </si>
  <si>
    <t>https://kad.arbitr.ru/Card/126c081a-8a18-45d9-b503-e8c5fb4099b8</t>
  </si>
  <si>
    <t>А41-14876/2024</t>
  </si>
  <si>
    <t>СНТ "Березка"</t>
  </si>
  <si>
    <t>5009024647</t>
  </si>
  <si>
    <t>Зайцев Александр Михайлович</t>
  </si>
  <si>
    <t>500901157508</t>
  </si>
  <si>
    <t>Московская область, город Домодедово, деревня Курганье</t>
  </si>
  <si>
    <t>САДОВОДЧЕСКОЕ НЕКОМЕРЧЕСКОЕ ТОВАРИЩЕСТВО "БЕРЕЗКА"</t>
  </si>
  <si>
    <t>uzunovo-mss@mail.ru</t>
  </si>
  <si>
    <t>+7 (4966736) 1-69_x000D_
+7 (4966736) 2-37_x000D_
+7 (4966736) 1-94_x000D_
+7 (4966736) 1-47</t>
  </si>
  <si>
    <t>https://kad.arbitr.ru/Card/f48b220b-a855-4783-977c-529627acaa64</t>
  </si>
  <si>
    <t>А41-14865/2024</t>
  </si>
  <si>
    <t>ГУП МО "МСС"</t>
  </si>
  <si>
    <t>5076000440</t>
  </si>
  <si>
    <t>Денисов Роман Вячеславович</t>
  </si>
  <si>
    <t>500803836220</t>
  </si>
  <si>
    <t>142960, Московская область, рабочий поселок Серебряные Пруды, село Узуново, Советская ул., д.5</t>
  </si>
  <si>
    <t>Разведение молочного крупного рогатого скота, производство сырого молока (01.41)</t>
  </si>
  <si>
    <t>ГОСУДАРСТВЕННОЕ УНИТАРНОЕ ПРЕДПРИЯТИЕ МОСКОВСКОЙ ОБЛАСТИ "МОСКОВСКАЯ СЕЛЕКЦИОННАЯ СТАНЦИЯ"</t>
  </si>
  <si>
    <t>https://kad.arbitr.ru/Card/33d1fa93-797a-44f6-aca0-fa35049017e5</t>
  </si>
  <si>
    <t>А40-36270/2024</t>
  </si>
  <si>
    <t>ООО "Санрайз Инжиниринг"</t>
  </si>
  <si>
    <t>7730254280</t>
  </si>
  <si>
    <t>Конюхов Максим Иванович</t>
  </si>
  <si>
    <t>402816321356</t>
  </si>
  <si>
    <t>121309, город Москва, Барклая ул., д. 18/19, мансарда офис 21</t>
  </si>
  <si>
    <t>ОБЩЕСТВО С ОГРАНИЧЕННОЙ ОТВЕТСТВЕННОСТЬЮ "САНРАЙЗ ИНЖИНИРИНГ"</t>
  </si>
  <si>
    <t>nastya@urmarkt.ru</t>
  </si>
  <si>
    <t>https://kad.arbitr.ru/Card/099c5141-ee7e-4ced-84dc-4eeaac36e228</t>
  </si>
  <si>
    <t>А40-36348/2024</t>
  </si>
  <si>
    <t>ООО "Юность"</t>
  </si>
  <si>
    <t>9703144683</t>
  </si>
  <si>
    <t>ООО "Кей Капитал"</t>
  </si>
  <si>
    <t>7717786158</t>
  </si>
  <si>
    <t>Гусева Ольга Вячеславовна</t>
  </si>
  <si>
    <t>773475552531</t>
  </si>
  <si>
    <t>127473, город Москва, Селезневская ул., д. 30 к. 2, этаж 2, кабинет № 201а</t>
  </si>
  <si>
    <t>Предоставление посреднических услуг при купле-продаже недвижимого имущества за вознаграждение или на договорной основе (68.31.1)</t>
  </si>
  <si>
    <t>ОБЩЕСТВО С ОГРАНИЧЕННОЙ ОТВЕТСТВЕННОСТЬЮ "ЮНОСТЬ"</t>
  </si>
  <si>
    <t>ОБЩЕСТВО С ОГРАНИЧЕННОЙ ОТВЕТСТВЕННОСТЬЮ "КЕЙ КАПИТАЛ"</t>
  </si>
  <si>
    <t>https://kad.arbitr.ru/Card/3ede65d4-7e26-4a87-b59e-a42ba7d9a762</t>
  </si>
  <si>
    <t>А41-14999/2024</t>
  </si>
  <si>
    <t>ПАО "Россети Московский Регион", ПАО "Россети МР"</t>
  </si>
  <si>
    <t>5036065113</t>
  </si>
  <si>
    <t>ИП Коноплев Виталий Михайлович</t>
  </si>
  <si>
    <t>290216707740</t>
  </si>
  <si>
    <t>Коноплев Виталий Михайлович</t>
  </si>
  <si>
    <t xml:space="preserve">   Московская область, город Красногорск  </t>
  </si>
  <si>
    <t>ПУБЛИЧНОЕ АКЦИОНЕРНОЕ ОБЩЕСТВО "РОССЕТИ МОСКОВСКИЙ РЕГИОН"</t>
  </si>
  <si>
    <t>https://kad.arbitr.ru/Card/a25968fa-ac71-40c1-90ca-7ae9f08c0d51</t>
  </si>
  <si>
    <t>А41-14878/2024</t>
  </si>
  <si>
    <t>inna100164@mail.ru</t>
  </si>
  <si>
    <t>+7 (495) 223-44-68</t>
  </si>
  <si>
    <t>https://kad.arbitr.ru/Card/874033ad-16fe-4e37-bab7-46e2f3a4e5f4</t>
  </si>
  <si>
    <t>А41-14929/2024</t>
  </si>
  <si>
    <t>Ассоциация "Новое Тяжино"</t>
  </si>
  <si>
    <t>5040998610</t>
  </si>
  <si>
    <t>Гудкова Оксана Евгеньевна</t>
  </si>
  <si>
    <t>622801312847</t>
  </si>
  <si>
    <t>140170, Московская область, д Тяжино, Фруктовая ул, д. 7</t>
  </si>
  <si>
    <t>АССОЦИАЦИЯ ПО БЛАГОУСТРОЙСТВУ ТЕРРИТОРИИ "НОВОЕ ТЯЖИНО"</t>
  </si>
  <si>
    <t>+7 (49624) 4-64-20</t>
  </si>
  <si>
    <t>https://kad.arbitr.ru/Card/729b0e94-830e-486f-9388-b03755617fdb</t>
  </si>
  <si>
    <t>А41-14889/2024</t>
  </si>
  <si>
    <t>СПК "Вымпел"</t>
  </si>
  <si>
    <t>5050024422</t>
  </si>
  <si>
    <t>Курбатов Андрей Владимирович</t>
  </si>
  <si>
    <t>772775182625</t>
  </si>
  <si>
    <t>141103, Московская область, город Щёлково, ул. Жуковского, д.5, кв.9</t>
  </si>
  <si>
    <t>НЕКОММЕРЧЕСКАЯ ОРГАНИЗАЦИЯ САДОВОДЧЕСКИЙ ПОТРЕБИТЕЛЬСКИЙ КООПЕРАТИВ (ТОВАРИЩЕСТВО) "ВЫМПЕЛ"</t>
  </si>
  <si>
    <t>https://kad.arbitr.ru/Card/2109ba50-bc64-4223-915c-1734fc10ac9d</t>
  </si>
  <si>
    <t>А40-36018/2024</t>
  </si>
  <si>
    <t>ООО "Эктос-Транс"</t>
  </si>
  <si>
    <t>9729122035</t>
  </si>
  <si>
    <t>ОБЩЕСТВО С ОГРАНИЧЕННОЙ ОТВЕТСТВЕННОСТЬЮ "ЭКТОС-ТРАНС"</t>
  </si>
  <si>
    <t>mkk05@mail.ru</t>
  </si>
  <si>
    <t>https://kad.arbitr.ru/Card/95317e74-178d-4964-a2c0-c0421223577c</t>
  </si>
  <si>
    <t>А41-14792/2024</t>
  </si>
  <si>
    <t>ООО "Стройтранс"</t>
  </si>
  <si>
    <t>5003133128</t>
  </si>
  <si>
    <t>ООО "Строймеханизация"</t>
  </si>
  <si>
    <t>9709037952</t>
  </si>
  <si>
    <t>Фролов Валерий Павлович</t>
  </si>
  <si>
    <t>772126000782</t>
  </si>
  <si>
    <t>105005, город Москва, ул Радио, д. 12 стр. 2</t>
  </si>
  <si>
    <t>ОБЩЕСТВО С ОГРАНИЧЕННОЙ ОТВЕТСТВЕННОСТЬЮ "СТРОЙТРАНС"</t>
  </si>
  <si>
    <t>ОБЩЕСТВО С ОГРАНИЧЕННОЙ ОТВЕТСТВЕННОСТЬЮ "СТРОЙМЕХАНИЗАЦИЯ"</t>
  </si>
  <si>
    <t>info@kp-ivest.ru_x000D_
mfc-report@kp-invest.ru</t>
  </si>
  <si>
    <t>+7 (985) 210-03-41_x000D_
+7 (917) 969-62-71</t>
  </si>
  <si>
    <t>https://kad.arbitr.ru/Card/1211c945-7ecb-4a58-afb4-f0125717565a</t>
  </si>
  <si>
    <t>А41-14903/2024</t>
  </si>
  <si>
    <t>ООО "УК "Чистота и Порядок"</t>
  </si>
  <si>
    <t>5006014866</t>
  </si>
  <si>
    <t>Жуков Сергей Сергеевич</t>
  </si>
  <si>
    <t>504706930986</t>
  </si>
  <si>
    <t>143090, Московская область, г Краснознаменск, ул Связистов, д. 12а, помещ. 15</t>
  </si>
  <si>
    <t>ОБЩЕСТВО С ОГРАНИЧЕННОЙ ОТВЕТСТВЕННОСТЬЮ "УПРАВЛЯЮЩАЯ КОМПАНИЯ "ЧИСТОТА И ПОРЯДОК"</t>
  </si>
  <si>
    <t>+7 (962) 976-45-31</t>
  </si>
  <si>
    <t>https://kad.arbitr.ru/Card/99aa5be9-3db2-4f27-9817-dddea39a0f47</t>
  </si>
  <si>
    <t>А41-14892/2024</t>
  </si>
  <si>
    <t>СНТ "Истра-1"</t>
  </si>
  <si>
    <t>5017014843</t>
  </si>
  <si>
    <t>Васильчикова Ольга Леонидовна</t>
  </si>
  <si>
    <t>771807185323</t>
  </si>
  <si>
    <t>143500, Московская область, город Истра, деревня Вельяминово, тер. СНТ Истра-1, д. 48</t>
  </si>
  <si>
    <t>САДОВОДЧЕСКОЕ НЕКОММЕРЧЕСКОЕ ТОВАРИЩЕСТВО "ИСТРА-1"</t>
  </si>
  <si>
    <t>2993496@bk.ru</t>
  </si>
  <si>
    <t>https://kad.arbitr.ru/Card/66f4d64f-2f0b-4a4a-b12e-6176930b06e0</t>
  </si>
  <si>
    <t>А40-35520/2024</t>
  </si>
  <si>
    <t>ООО "Гермес Логистик"</t>
  </si>
  <si>
    <t>7720868259</t>
  </si>
  <si>
    <t>ООО "Энергосервис"</t>
  </si>
  <si>
    <t>7730285471</t>
  </si>
  <si>
    <t>Ершова Елизавета Михайловна</t>
  </si>
  <si>
    <t>772400350825</t>
  </si>
  <si>
    <t>121248, город Москва, Кутузовский пр-кт, д. 2/1 к. 1а, офис 33 помещ. VII</t>
  </si>
  <si>
    <t>ОБЩЕСТВО С ОГРАНИЧЕННОЙ ОТВЕТСТВЕННОСТЬЮ "ГЕРМЕС ЛОГИСТИК"</t>
  </si>
  <si>
    <t>ОБЩЕСТВО С ОГРАНИЧЕННОЙ ОТВЕТСТВЕННОСТЬЮ "ЭНЕРГОСЕРВИС"</t>
  </si>
  <si>
    <t>+7 (495) 540-58-89_x000D_
+7 (903) 777-37-13_x000D_
+7 (49654) 0-58-89_x000D_
+7 (929) 922-23-22_x000D_
+7 (495) 785-07-61</t>
  </si>
  <si>
    <t>https://kad.arbitr.ru/Card/87e3039f-5ac3-4a3e-87fe-d950550ec17f</t>
  </si>
  <si>
    <t>А40-35318/2024</t>
  </si>
  <si>
    <t>ООО "Святогор-СБ"</t>
  </si>
  <si>
    <t>7720669655</t>
  </si>
  <si>
    <t>ООО "СТС"</t>
  </si>
  <si>
    <t>5042119335</t>
  </si>
  <si>
    <t>Пушкарев Николай Сергеевич</t>
  </si>
  <si>
    <t>501208507317</t>
  </si>
  <si>
    <t>115304, город Москва, Каспийская ул, д. 22 к. 1 стр. 5, этаж 3 помещ. 7 ком. 18 офис 6н</t>
  </si>
  <si>
    <t>ОБЩЕСТВО С ОГРАНИЧЕННОЙ ОТВЕТСТВЕННОСТЬЮ "СВЯТОГОР - СИСТЕМЫ БЕЗОПАСНОСТИ"</t>
  </si>
  <si>
    <t>ОБЩЕСТВО С ОГРАНИЧЕННОЙ ОТВЕТСТВЕННОСТЬЮ "СОВРЕМЕННЫЕ ТЕХНОЛОГИИ СТРОИТЕЛЬСТВА"</t>
  </si>
  <si>
    <t>+7 (921) 186-58-28_x000D_
+7 (952) 239-85-81</t>
  </si>
  <si>
    <t>https://kad.arbitr.ru/Card/5f9c81de-3296-42a6-b5c1-4a52acb6f587</t>
  </si>
  <si>
    <t>А40-35228/2024</t>
  </si>
  <si>
    <t>ООО "Империя"</t>
  </si>
  <si>
    <t>7816641957</t>
  </si>
  <si>
    <t>Кицул Сюзанна Павловна</t>
  </si>
  <si>
    <t>781300995366</t>
  </si>
  <si>
    <t>192236, город Санкт-Петербург, Софийская ул., д. 6 к. 8 стр. 1, помещ. 1-н офис 192</t>
  </si>
  <si>
    <t>Производство изделий из бетона для использования в строительстве (23.61)</t>
  </si>
  <si>
    <t>ОБЩЕСТВО С ОГРАНИЧЕННОЙ ОТВЕТСТВЕННОСТЬЮ "ИМПЕРИЯ"</t>
  </si>
  <si>
    <t>Решения и постановления Иск удовлетворить полностью</t>
  </si>
  <si>
    <t>https://kad.arbitr.ru/Card/6aaeb069-31fd-4e63-aa20-5c78c2c516ce</t>
  </si>
  <si>
    <t>А40-35184/2024</t>
  </si>
  <si>
    <t>ООО "Транслес"</t>
  </si>
  <si>
    <t>7708586346</t>
  </si>
  <si>
    <t>ОБЩЕСТВО С ОГРАНИЧЕННОЙ ОТВЕТСТВЕННОСТЬЮ "ТРАНСЛЕС"</t>
  </si>
  <si>
    <t>nt@mosfr.ru_x000D_
info@mosfr.ru_x000D_
kp@mosfr.ru_x000D_
marina.efimova@mosfr.ru_x000D_
svetlana.potapova@mosfr.ru_x000D_
vera.tyurina@mosfr.ru</t>
  </si>
  <si>
    <t>+7 (495) 651-07-97_x000D_
+7 (495) 633-67-22</t>
  </si>
  <si>
    <t>https://kad.arbitr.ru/Card/ec5a1064-4914-4da2-b7df-26826c757c34</t>
  </si>
  <si>
    <t>А40-36917/2024</t>
  </si>
  <si>
    <t>ГБУ "Жилищник района Щукино"</t>
  </si>
  <si>
    <t>7734715220</t>
  </si>
  <si>
    <t>Фонд Реновации</t>
  </si>
  <si>
    <t>7703434808</t>
  </si>
  <si>
    <t>Константинов Анатолий Васильевич</t>
  </si>
  <si>
    <t>770702518622</t>
  </si>
  <si>
    <t>109012, город Москва, ул Ильинка, д. 13</t>
  </si>
  <si>
    <t>ГОСУДАРСТВЕННОЕ БЮДЖЕТНОЕ УЧРЕЖДЕНИЕ ГОРОДА МОСКВЫ "ЖИЛИЩНИК РАЙОНА ЩУКИНО"</t>
  </si>
  <si>
    <t>МОСКОВСКИЙ ФОНД РЕНОВАЦИИ ЖИЛОЙ ЗАСТРОЙКИ</t>
  </si>
  <si>
    <t>boatvk@mail.ru_x000D_
4639301@mail.ru_x000D_
7894562@mail.ru_x000D_
diadoc@rppo.ru_x000D_
info@ramteploset.ru_x000D_
ivaramts@gmail.com_x000D_
kaptuk@mail.ru_x000D_
mail@ramteplo.ru_x000D_
pamtep@mail.ru_x000D_
pto.ramteplo@gmail.com_x000D_
ram-teplo@mail.ru_x000D_
ram/teploset@mail.ru_x000D_
ramenskoetvk@mail.ru_x000D_
ramtep@mail.ru_x000D_
ramteplo@mail.ru_x000D_
rnstvk@mail.ru_x000D_
rpotvk@gmail.com_x000D_
rts30339@gmail.com_x000D_
teplo@mail.ru_x000D_
teplo@yandex.ru_x000D_
tolmacheva@enigma.ru_x000D_
tvkshvn@gmail.com_x000D_
111111@mail.ru</t>
  </si>
  <si>
    <t>+7 (49646) 3-93-01_x000D_
+7 (49646) 3-33-54_x000D_
+7 (49654) 7-21-58_x000D_
+7 (49646) 9-75-38_x000D_
+7 (495) 463-93-01_x000D_
+7 (495) 496-46-39, доб 301_x000D_
+7 (495) 557-92-74_x000D_
+7 (495) 598-19-89_x000D_
+7 (4964) 93-93-01_x000D_
+7 (49646) 2-14-92_x000D_
+7 (49646) 3-23-13_x000D_
+7 (49646) 3-28-29_x000D_
+7 (49646) 3-80-14_x000D_
+7 (49646) 3-93-01, доб 111_x000D_
+7 (49646) 4-63-93, доб 01_x000D_
+7 (49646) 6-92-60_x000D_
+7 (49646) 7-34-38_x000D_
+7 (4967) 56-24-52_x000D_
+7 (49646) 4-76-40_x000D_
+7 (49646) 1-74-76_x000D_
+7 (49646) 3-39-01_x000D_
+7 (49646) 3-08-51_x000D_
+7 (49646) 3-93-30, доб 1_x000D_
+7 (495) 496-46-39, доб 3601_x000D_
+7 (49646) 1-89-59_x000D_
+7 (49646) 3-32-21_x000D_
+7 (49646) 3-14-71_x000D_
+7 (49646) 7-36-11_x000D_
+7 (495) 777-77-77_x000D_
+7 (49646) 3-33-54, доб 001_x000D_
+7 (495) 000-00-00_x000D_
+7 (49646) 3-93-31_x000D_
+7 (495) 744-26-42_x000D_
+7 (4964) 93-36-54_x000D_
+7 (49646) 3-45-97_x000D_
+7 (49646) 7-94-84</t>
  </si>
  <si>
    <t>http://рамтепло.рф/</t>
  </si>
  <si>
    <t>https://kad.arbitr.ru/Card/77433b5c-881f-4158-a37e-227669f8f754</t>
  </si>
  <si>
    <t>А41-14874/2024</t>
  </si>
  <si>
    <t>АО "Раменская Теплосеть"</t>
  </si>
  <si>
    <t>5040109331</t>
  </si>
  <si>
    <t>Варлачев Алексей Владимирович</t>
  </si>
  <si>
    <t>291000345560</t>
  </si>
  <si>
    <t>140104, Московская область, город Раменское, Деревообделочный пр-д, д.2а</t>
  </si>
  <si>
    <t>АКЦИОНЕРНОЕ ОБЩЕСТВО "РАМЕНСКАЯ ТЕПЛОСЕТЬ"</t>
  </si>
  <si>
    <t>https://kad.arbitr.ru/Card/94a5a74d-8edd-46ec-a5ac-103987b11b2c</t>
  </si>
  <si>
    <t>А41-14958/2024</t>
  </si>
  <si>
    <t>ООО "Комета-а"</t>
  </si>
  <si>
    <t>7727668795</t>
  </si>
  <si>
    <t>ООО "ПСК"</t>
  </si>
  <si>
    <t>5029269116</t>
  </si>
  <si>
    <t>Молькова Наталья Александровна</t>
  </si>
  <si>
    <t>263511050459</t>
  </si>
  <si>
    <t>141006, Московская область, г Мытищи, ул Воронина, стр. 16, офис/этаж 301е/3</t>
  </si>
  <si>
    <t>ОБЩЕСТВО С ОГРАНИЧЕННОЙ ОТВЕТСТВЕННОСТЬЮ "КОМЕТА-А"</t>
  </si>
  <si>
    <t>ОБЩЕСТВО С ОГРАНИЧЕННОЙ ОТВЕТСТВЕННОСТЬЮ "ПРОЕКТНО-СТРОИТЕЛЬНАЯ КОМПАНИЯ"</t>
  </si>
  <si>
    <t>https://kad.arbitr.ru/Card/2d65485b-3fb4-421c-80c3-5f963563dd4a</t>
  </si>
  <si>
    <t>А40-36738/2024</t>
  </si>
  <si>
    <t>ООО "РОН"</t>
  </si>
  <si>
    <t>7707437260</t>
  </si>
  <si>
    <t>ООО "Модная Розница"</t>
  </si>
  <si>
    <t>3435137158</t>
  </si>
  <si>
    <t>Пименов Семен Васильевич</t>
  </si>
  <si>
    <t>343511281583</t>
  </si>
  <si>
    <t>400001, Волгоградская область, г Волгоград, ул Ким, зд. 6, к. б помещ. 15</t>
  </si>
  <si>
    <t>ОБЩЕСТВО С ОГРАНИЧЕННОЙ ОТВЕТСТВЕННОСТЬЮ "РОН"</t>
  </si>
  <si>
    <t>ОБЩЕСТВО С ОГРАНИЧЕННОЙ ОТВЕТСТВЕННОСТЬЮ "МОДНАЯ РОЗНИЦА"</t>
  </si>
  <si>
    <t>info@notari.su_x000D_
bal.dou39luchik@mail.ru_x000D_
556@mail.ru_x000D_
5656546@mail.ru_x000D_
565@mail.ru_x000D_
7894091@mail.ru_x000D_
abonent@balvodokanal.ru_x000D_
bal.1ofps@yandex.ru_x000D_
balvod@mail.ru_x000D_
balvodocanal@mail.ru_x000D_
balvodokanal@mail.ru_x000D_
buhbvk@balvodokanal.ru_x000D_
chernova@balvodokanal.ru_x000D_
finans@50.rospotrebnador.ru_x000D_
info@balvodokanal.ru_x000D_
it@balvodokanal.ru_x000D_
mail@mail.ru_x000D_
metodbal@yandex.ru_x000D_
mup-gorodskogo-okruga.vodokanal@yandex.ru_x000D_
nad312@yandex.ru_x000D_
net@mail.ru_x000D_
okruga.vodokanal@yandex.ru_x000D_
realizvkh@bk.ru_x000D_
school12bal@mail.ru_x000D_
tkovaleva@deco.mos.ru_x000D_
vkl@mail.ru_x000D_
vobokanal@mail.ru_x000D_
voda@ya.ru_x000D_
vodokanal@balashiha.ru_x000D_
vodokanal@mail.ru_x000D_
vodokanalbal@mail.ru_x000D_
www@mail.ru_x000D_
zakupki@balvodokanal.ru_x000D_
zh@balvodokanal.ru</t>
  </si>
  <si>
    <t>+7 (495) 529-21-51_x000D_
+7 (495) 521-00-42_x000D_
+7 (495) 523-72-58_x000D_
+7 (495) 123-45-67_x000D_
+7 (495) 521-17-65_x000D_
+7 (495) 521-21-51_x000D_
+7 (495) 521-22-00_x000D_
+7 (495) 521-30-78_x000D_
+7 (495) 521-33-76_x000D_
+7 (495) 521-63-53_x000D_
+7 (495) 521-65-17_x000D_
+7 (495) 521-65-17, доб 158_x000D_
+7 (495) 522-31-80_x000D_
+7 (495) 523-47-59_x000D_
+7 (495) 524-33-82_x000D_
+7 (495) 529-21-00_x000D_
+7 (495) 529-21-21_x000D_
+7 (495) 529-21-51, доб 00_x000D_
+7 (495) 529-21-56_x000D_
+7 (495) 529-25-47_x000D_
+7 (495) 529-51-21_x000D_
+7 (495) 531-20-08_x000D_
+7 (495) 542-52-52_x000D_
+7 (495) 545-45-45_x000D_
+7 (495) 545-87-54_x000D_
+7 (495) 554-34-34_x000D_
+7 (495) 582-90-20_x000D_
+7 (498) 522-28-25_x000D_
+7 (8712) 31-23-45, доб 67_x000D_
+7 (965) 234-93-78_x000D_
+7 (985) 439-15-48_x000D_
+7 (495) 529-21-61_x000D_
+7 (495) 523-46-89_x000D_
+7 (495) 525-65-47_x000D_
+7 (495) 521-43-89_x000D_
+7 (495) 552-92-15, доб 1_x000D_
+7 (495) 521-21-21_x000D_
+7 (495) 521-21-21, доб 484_x000D_
+7 (499) 555-77-99_x000D_
+7 (499) 750-23-34_x000D_
+7 (495) 522-44-15_x000D_
+7 (495) 521-21-21, доб 170_x000D_
+7 (495) 522-03-35_x000D_
+7 (495) 521-21-21, доб 456_x000D_
+7 (499) 301-03-34_x000D_
+7 (499) 301-03-37_x000D_
+7 (495) 522-04-47_x000D_
+7 (495) 522-11-52_x000D_
+7 (495) 521-21-21, доб 105_x000D_
+7 (495) 429-21-51_x000D_
+7 (495) 522-03-55_x000D_
+7 (495) 529-24-51_x000D_
+7 (495) 522-07-54_x000D_
+7 (495) 529-21-51, доб 2_x000D_
+7 (495) 000-00-00_x000D_
+7 (495) 521-00-61_x000D_
+7 (495) 531-20-08, доб 1401_x000D_
+7 (495) 111-11-11_x000D_
+7 (495) 521-05-17</t>
  </si>
  <si>
    <t>https://kad.arbitr.ru/Card/4d770457-eab9-43ad-a084-32436078518a</t>
  </si>
  <si>
    <t>А41-14964/2024</t>
  </si>
  <si>
    <t>ООО "ТСК Мосэнерго"</t>
  </si>
  <si>
    <t>7729698690</t>
  </si>
  <si>
    <t>МУП "БКС"</t>
  </si>
  <si>
    <t>5012091227</t>
  </si>
  <si>
    <t>Говричев Николай Игоревич</t>
  </si>
  <si>
    <t>773771396522</t>
  </si>
  <si>
    <t>143903, Московская область, город Балашиха, ул. Белякова, д. 2</t>
  </si>
  <si>
    <t>ОБЩЕСТВО С ОГРАНИЧЕННОЙ ОТВЕТСТВЕННОСТЬЮ "ТЕПЛОСНАБЖАЮЩАЯ КОМПАНИЯ МОСЭНЕРГО"</t>
  </si>
  <si>
    <t>МУНИЦИПАЛЬНОЕ УНИТАРНОЕ ПРЕДПРИЯТИЕ ГОРОДСКОГО ОКРУГА БАЛАШИХА "БАЛАШИХИНСКИЕ КОММУНАЛЬНЫЕ СИСТЕМЫ"</t>
  </si>
  <si>
    <t>post@energosale.ru_x000D_
psa@energosale.ru_x000D_
chtv@energosale.ru_x000D_
essbit2@energosale.ru</t>
  </si>
  <si>
    <t>+7 (8442) 26-26-26_x000D_
+7 (8442) 94-63-56_x000D_
+7 (8442) 96-43-45_x000D_
+7 (8443) 39-99-44_x000D_
+7 (8442) 96-43-59_x000D_
+7 (8442) 26-26-26, доб 7076_x000D_
+7 (8442) 26-26-26, доб 7171_x000D_
+7 (8442) 26-26-26, доб 7725_x000D_
+7 (8442) 26-26-26, доб 6336_x000D_
+7 (8443) 39-39-65_x000D_
+7 (84442) 4-70-33_x000D_
+7 (844) 634-96-38_x000D_
+7 (844) 756-19-53_x000D_
+7 (8442) 26-26-26, доб 2_x000D_
+7 (84457) 4-65-50_x000D_
+7 (84462) 6-12-36_x000D_
+7 (8442) 53-73-49_x000D_
+7 (8442) 70-07-00, доб 116_x000D_
+7 (84457) 4-64-50_x000D_
+7 (84446) 3-14-65_x000D_
+7 (8442) 94-37-28_x000D_
+7 (8442) 26-26-26, доб 7722_x000D_
+7 (8442) 70-07-00, доб 1166_x000D_
+7 (84457) 4-72-05_x000D_
+7 (84477) 6-81-00_x000D_
+7 (844) 756-61-95, доб 3_x000D_
+7 (84442) 3-70-28_x000D_
+7 (8442) 92-32-83_x000D_
+7 (8442) 70-07-00, доб 1161_x000D_
+7 (8443) 33-99-92, доб 2_x000D_
+7 (84442) 4-70-21_x000D_
+7 (8422) 34-15-24, доб 5_x000D_
+7 (8442) 27-00-70_x000D_
+7 (8442) 70-00-70_x000D_
+7 (8443) 39-99-22_x000D_
+7 (844) 756-77-66_x000D_
+7 (8442) 90-00-09_x000D_
+7 (8442) 94-77-86_x000D_
+7 (8443) 52-55-08_x000D_
+7 (8442) 70-07-00, доб 1181_x000D_
+7 (8442) 39-99-22_x000D_
+7 (84478) 4-63-36_x000D_
+7 (8442) 39-39-65_x000D_
+7 (84472) 3-47-50_x000D_
+7 (8442) 22-62-62, доб 6_x000D_
+7 (84476) 3-15-76_x000D_
+7 (4842) 70-07-00_x000D_
+7 (8442) 26-26-16_x000D_
+7 (8442) 44-20-30_x000D_
+7 (84457) 6-64-50_x000D_
+7 (8442) 70-11-66_x000D_
+7 (84442) 4-70-20_x000D_
+7 (844) 664-21-31_x000D_
+7 (84458) 3-32-68_x000D_
+7 (8442) 33-30-02_x000D_
+7 (84473) 2-25-15_x000D_
+7 (8442) 42-51-42_x000D_
+7 (84467) 5-22-85_x000D_
+7 (84472) 5-24-90_x000D_
+7 (8442) 48-14-21_x000D_
+7 (8442) 70-07-00, доб 1116_x000D_
+7 (84442) 4-70-22_x000D_
+7 (84442) 4-70-29_x000D_
+7 (8442) 70-07-00, доб 1106_x000D_
+7 (8442) 26-26-26, доб 7727_x000D_
+7 (84442) 4-30-01_x000D_
+7 (84447) 3-48-44_x000D_
+7 (8443) 39-33-88_x000D_
+7 (8442) 42-05-45_x000D_
+7 (8442) 70-07-00, доб 1167_x000D_
+7 (8442) 99-07-11_x000D_
+7 (8443) 39-99-92_x000D_
+7 (903) 767-20-70_x000D_
+7 (8442) 70-07-00_x000D_
+7 (8442) 59-59-59_x000D_
+7 (84476) 3-16-05_x000D_
+7 (8442) 39-33-22_x000D_
+7 (84442) 4-70-25_x000D_
+7 (8442) 23-99-92, доб 2_x000D_
+7 (8442) 39-56-89_x000D_
+7 (8443) 39-99-22, доб 8_x000D_
+7 (84442) 4-20-40_x000D_
+7 (84465) 4-46-70_x000D_
+7 (8442) 70-07-00, доб 1155_x000D_
+7 (8442) 43-45-96_x000D_
+7 (8442) 62-26-26_x000D_
+7 (8442) 96-07-03_x000D_
+7 (84442) 4-14-14_x000D_
+7 (84457) 4-24-59_x000D_
+7 (8442) 30-08-11_x000D_
+7 (8442) 42-54-14_x000D_
+7 (84473) 2-26-75_x000D_
+7 (8442) 34-56-30_x000D_
+7 (8442) 35-46-50_x000D_
+7 (8442) 97-08-63_x000D_
+7 (8442) 97-52-09_x000D_
+7 (8442) 45-76-98_x000D_
+7 (8442) 96-91-69_x000D_
+7 (84442) 4-13-32_x000D_
+7 (844) 746-19-56</t>
  </si>
  <si>
    <t>http://www.energosale34.ru/_x000D_
http://www.energosale34.ru/info/infooao_x000D_
http://energosale34.ru/</t>
  </si>
  <si>
    <t>https://kad.arbitr.ru/Card/92b2aea7-5471-48d7-b710-8f94bb3496d7</t>
  </si>
  <si>
    <t>А40-36695/2024</t>
  </si>
  <si>
    <t>АО "Квадра"</t>
  </si>
  <si>
    <t>6829012680</t>
  </si>
  <si>
    <t>ПАО "Волгоградэнергосбыт"</t>
  </si>
  <si>
    <t>3445071523</t>
  </si>
  <si>
    <t>Кауль Дмитрий Михайлович</t>
  </si>
  <si>
    <t>500113363182</t>
  </si>
  <si>
    <t>400001, Волгоградская область, город Волгоград, Козловская ул., д.14</t>
  </si>
  <si>
    <t>Торговля электроэнергией (35.14)</t>
  </si>
  <si>
    <t>АКЦИОНЕРНОЕ ОБЩЕСТВО "КВАДРА-ГЕНЕРИРУЮЩАЯ КОМПАНИЯ"</t>
  </si>
  <si>
    <t>ПУБЛИЧНОЕ АКЦИОНЕРНОЕ ОБЩЕСТВО "ВОЛГОГРАДЭНЕРГОСБЫТ"</t>
  </si>
  <si>
    <t>+7 (499) 350-73-33_x000D_
+7 (499) 350-95-55</t>
  </si>
  <si>
    <t>http://alpha-sber.ru/</t>
  </si>
  <si>
    <t>https://kad.arbitr.ru/Card/39b1400d-b1c2-451c-b706-d54ca3298c48</t>
  </si>
  <si>
    <t>А40-36623/2024</t>
  </si>
  <si>
    <t>КПК "Альфа Сбережения"</t>
  </si>
  <si>
    <t>262102498167</t>
  </si>
  <si>
    <t>Шепелев Антон Сергеевич</t>
  </si>
  <si>
    <t>121165, город Москва, Кутузовский пр-кт, д. 35, п/подвал. помещ. I ком. 12-15,19</t>
  </si>
  <si>
    <t>Предоставление займов и прочих видов кредита (64.92)</t>
  </si>
  <si>
    <t>Кашинцев Михаил Александрович</t>
  </si>
  <si>
    <t>КРЕДИТНЫЙ ПОТРЕБИТЕЛЬСКИЙ КООПЕРАТИВ "АЛЬФА СБЕРЕЖЕНИЯ"</t>
  </si>
  <si>
    <t>info@mail.ru</t>
  </si>
  <si>
    <t>+7 (499) 488-70-30</t>
  </si>
  <si>
    <t>https://kad.arbitr.ru/Card/601b9143-6e76-48e9-946d-aa1801332987</t>
  </si>
  <si>
    <t>А40-36392/2024</t>
  </si>
  <si>
    <t>ООО "УК РЭУ № 53"</t>
  </si>
  <si>
    <t>7731419103</t>
  </si>
  <si>
    <t>Павлов Ричард Георгиевич</t>
  </si>
  <si>
    <t>773118144655</t>
  </si>
  <si>
    <t>127238, город Москва, Дмитровское ш, д. 51 к. 1, этаж 1 пом/ком Iб/1-6</t>
  </si>
  <si>
    <t>ОБЩЕСТВО С ОГРАНИЧЕННОЙ ОТВЕТСТВЕННОСТЬЮ "УПРАВЛЯЮЩАЯ КОМПАНИЯ РЕМОНТНО-ЭКСПЛУАТАЦИОННОЕ УПРАВЛЕНИЕ № 53"</t>
  </si>
  <si>
    <t>https://kad.arbitr.ru/Card/2d466e02-17b8-47a1-a451-1a70128f21ed</t>
  </si>
  <si>
    <t>А41-14960/2024</t>
  </si>
  <si>
    <t>tender-1@ecolos.ru_x000D_
marie100@bk.ru_x000D_
a.nitalieva@ruscompozit.com_x000D_
ender-1@ecolos.ru_x000D_
tender@ecolos.ru</t>
  </si>
  <si>
    <t>+7 (846) 205-99-55_x000D_
+7 (495) 223-77-22_x000D_
+7 (846) 205-99-55, доб 102_x000D_
+7 (846) 240-97-90_x000D_
+7 (846) 205-99-55, доб 25_x000D_
+7 (846) 205-99-55, доб 250_x000D_
+7 (987) 950-43-00_x000D_
+7 (846) 205-99-55, доб 303</t>
  </si>
  <si>
    <t>https://kad.arbitr.ru/Card/29ef078f-868f-4c3f-9cce-e6d186396a62</t>
  </si>
  <si>
    <t>А40-36400/2024</t>
  </si>
  <si>
    <t>ООО "Тис Лоджистик"</t>
  </si>
  <si>
    <t>2543143277</t>
  </si>
  <si>
    <t>ООО "Эколос-Проектстрой"</t>
  </si>
  <si>
    <t>6311135876</t>
  </si>
  <si>
    <t>Потапов Николай Евгеньевич</t>
  </si>
  <si>
    <t>164905739438</t>
  </si>
  <si>
    <t>443036, Самарская область, город Самара, ул. Набережная реки Самары, д.1, комната 126</t>
  </si>
  <si>
    <t>Производство оборудования и установок для фильтрования или очистки жидкостей (28.29.12)</t>
  </si>
  <si>
    <t>ОБЩЕСТВО С ОГРАНИЧЕННОЙ ОТВЕТСТВЕННОСТЬЮ "ТИС ЛОДЖИСТИК"</t>
  </si>
  <si>
    <t>ОБЩЕСТВО С ОГРАНИЧЕННОЙ ОТВЕТСТВЕННОСТЬЮ "ЭКОЛОС-ПРОЕКТСТРОЙ"</t>
  </si>
  <si>
    <t>https://kad.arbitr.ru/Card/9a3860aa-3e6b-4c64-af06-20505060672f</t>
  </si>
  <si>
    <t>А40-36315/2024</t>
  </si>
  <si>
    <t>АО МФК "МК"</t>
  </si>
  <si>
    <t>6316103050</t>
  </si>
  <si>
    <t>ИП Гаджимагомедов Магомед Сиражутдинович</t>
  </si>
  <si>
    <t>053001795734</t>
  </si>
  <si>
    <t>Гаджимагомедов Магомед Сиражутдинович</t>
  </si>
  <si>
    <t>443068, Россия, Самарская область, г о Самара, Октябрьский, г Самара, проспект Масленникова, д. 8, кв. эт 1</t>
  </si>
  <si>
    <t>АКЦИОНЕРНОЕ ОБЩЕСТВО МИКРОФИНАНСОВАЯ КОМПАНИЯ "МАНИ КАПИТАЛ"</t>
  </si>
  <si>
    <t>tpk_sm@mail.ru</t>
  </si>
  <si>
    <t>https://kad.arbitr.ru/Card/7e80e7ff-8a4f-4fe0-b906-1e31fe9bb757</t>
  </si>
  <si>
    <t>А40-36302/2024</t>
  </si>
  <si>
    <t>ООО "Бауинвест"</t>
  </si>
  <si>
    <t>7731415934</t>
  </si>
  <si>
    <t>ООО "ТПК-СМ"</t>
  </si>
  <si>
    <t>5075039893</t>
  </si>
  <si>
    <t>Сафронов Александр Геннадьевич</t>
  </si>
  <si>
    <t>507561166921</t>
  </si>
  <si>
    <t>143132, Московская область, рп Тучково, Технологический пр-д, д. 44 стр. 1</t>
  </si>
  <si>
    <t>ОБЩЕСТВО С ОГРАНИЧЕННОЙ ОТВЕТСТВЕННОСТЬЮ "БАУИНВЕСТ"</t>
  </si>
  <si>
    <t>ОБЩЕСТВО С ОГРАНИЧЕННОЙ ОТВЕТСТВЕННОСТЬЮ "ТУЧКОВСКИЙ ПРОИЗВОДСТВЕННЫЙ КОМПЛЕКС СТРОИТЕЛЬНЫХ МАТЕРИАЛОВ"</t>
  </si>
  <si>
    <t>msksushenvit@yandex.ru_x000D_
msk-stroi@inbox.ru_x000D_
stroy@mail.ru</t>
  </si>
  <si>
    <t>+7 (495) 673-35-45_x000D_
+7 (495) 933-44-96_x000D_
+7 (926) 640-97-32_x000D_
+7 (495) 181-69-67</t>
  </si>
  <si>
    <t>https://kad.arbitr.ru/Card/9fbef35f-d336-43f6-ada6-23e0f4b1fb2f</t>
  </si>
  <si>
    <t>А40-35745/2024</t>
  </si>
  <si>
    <t>АО "ГУОВ"</t>
  </si>
  <si>
    <t>7703702341</t>
  </si>
  <si>
    <t>ООО "МСК-Строй"</t>
  </si>
  <si>
    <t>7721746341</t>
  </si>
  <si>
    <t>Сущеня Виталий Валерьевич</t>
  </si>
  <si>
    <t>501211332473</t>
  </si>
  <si>
    <t>123458, город Москва, ул. Маршала Катукова, д. 24 к. 6, офис 101</t>
  </si>
  <si>
    <t>АКЦИОНЕРНОЕ ОБЩЕСТВО "ГЛАВНОЕ УПРАВЛЕНИЕ ОБУСТРОЙСТВА ВОЙСК"</t>
  </si>
  <si>
    <t>ОБЩЕСТВО С ОГРАНИЧЕННОЙ ОТВЕТСТВЕННОСТЬЮ "МСК-СТРОЙ"</t>
  </si>
  <si>
    <t>https://kad.arbitr.ru/Card/ad9f7a79-118b-4167-8831-3af46a55b9c4</t>
  </si>
  <si>
    <t>А40-35504/2024</t>
  </si>
  <si>
    <t>ООО "Международное РТВ"</t>
  </si>
  <si>
    <t>7705562139</t>
  </si>
  <si>
    <t>129272, Россия, г Москва, г. Москва, ул. Трифоновская, д. 57а, офис 6-08</t>
  </si>
  <si>
    <t>ОБЩЕСТВО С ОГРАНИЧЕННОЙ ОТВЕТСТВЕННОСТЬЮ "МЕЖДУНАРОДНОЕ РАЗВЛЕКАТЕЛЬНОЕ ТВ"</t>
  </si>
  <si>
    <t>ЗАО "АЗИЯ ФМ"</t>
  </si>
  <si>
    <t>https://kad.arbitr.ru/Card/1b2014fe-09d1-4eb3-8101-4549e82e2d16</t>
  </si>
  <si>
    <t>А40-35189/2024</t>
  </si>
  <si>
    <t>office@aoek.ru_x000D_
office@aoeks.ru_x000D_
natarius1@mail.ru_x000D_
alexey9910991@gmail.com_x000D_
a.vlasov@umsgroup.ru_x000D_
konyukhov68@gmail.com_x000D_
net@net.ru_x000D_
p.yanova@aoeks.ru_x000D_
qwe@mail.ru_x000D_
www@wewew.ww_x000D_
zrpeks@mail.ru</t>
  </si>
  <si>
    <t>+7 (495) 004-50-44_x000D_
+7 (495) 004-50-44, доб 1025_x000D_
+7 (495) 123-45-67_x000D_
+7 (495) 710-75-89_x000D_
+7 (495) 004-50-44, доб 1009_x000D_
+7 (985) 990-95-30_x000D_
+7 (495) 604-50-44_x000D_
+7 (495) 604-40-44_x000D_
+7 (495) 004-50-04_x000D_
+7 (4852) 67-98-04_x000D_
+7 (495) 111-11-11_x000D_
+7 (495) 660-92-60_x000D_
+7 (495) 004-50-44, доб 1003_x000D_
+7 (495) 000-45-04, доб 4_x000D_
+7 (499) 400-25-12_x000D_
+7 (495) 004-40-44_x000D_
+7 (495) 044-50-44_x000D_
+7 (499) 261-82-00_x000D_
+7 (495) 522-10-97_x000D_
+7 (495) 004-20-44_x000D_
+7 (495) 522-09-77</t>
  </si>
  <si>
    <t>https://kad.arbitr.ru/Card/30e349e4-4eb9-4710-b8eb-69914c5d4511</t>
  </si>
  <si>
    <t>А40-36910/2024</t>
  </si>
  <si>
    <t>ООО "Автошума.Нет"</t>
  </si>
  <si>
    <t>7730194560</t>
  </si>
  <si>
    <t>АО "ГК "ЕКС"</t>
  </si>
  <si>
    <t>5012000639</t>
  </si>
  <si>
    <t>Власов Алексей Евгеньевич</t>
  </si>
  <si>
    <t>680701449546</t>
  </si>
  <si>
    <t>150001, Ярославская область, город Ярославль, Большая Федоровская ул., д. 63, пом. 1-6,8,9</t>
  </si>
  <si>
    <t>ОБЩЕСТВО С ОГРАНИЧЕННОЙ ОТВЕТСТВЕННОСТЬЮ "АВТОШУМА.НЕТ"</t>
  </si>
  <si>
    <t>АКЦИОНЕРНОЕ ОБЩЕСТВО "ГРУППА КОМПАНИЙ "ЕКС"</t>
  </si>
  <si>
    <t>viktor.kornilaev@yandex.ru</t>
  </si>
  <si>
    <t>+7 (83192) 3-75-34</t>
  </si>
  <si>
    <t>https://kad.arbitr.ru/Card/e29b9f35-9a90-4050-88f1-383a92041683</t>
  </si>
  <si>
    <t>А40-36569/2024</t>
  </si>
  <si>
    <t>АО "Росагролизинг"</t>
  </si>
  <si>
    <t>7704221591</t>
  </si>
  <si>
    <t>СПК "Сура"</t>
  </si>
  <si>
    <t>5226012198</t>
  </si>
  <si>
    <t>Коротков Алексей Сергеевич</t>
  </si>
  <si>
    <t>522602198407</t>
  </si>
  <si>
    <t>607490, Нижегородская область, Пильнинский район, село Языково, Советская ул, д. 22</t>
  </si>
  <si>
    <t>Разведение молочного крупного рогатого скота (01.41.1)</t>
  </si>
  <si>
    <t>АКЦИОНЕРНОЕ ОБЩЕСТВО "РОСАГРОЛИЗИНГ"</t>
  </si>
  <si>
    <t>СЕЛЬСКОХОЗЯЙСТВЕННЫЙ ПРОИЗВОДСТВЕННЫЙ КООПЕРАТИВ "СУРА"</t>
  </si>
  <si>
    <t>https://kad.arbitr.ru/Card/23907025-326c-4f78-81f9-36a46422cf40</t>
  </si>
  <si>
    <t>А40-36723/2024</t>
  </si>
  <si>
    <t>asya_mazurina@mail.ru</t>
  </si>
  <si>
    <t>https://kad.arbitr.ru/Card/876ff87e-960c-4506-a5e9-c603e553b9cc</t>
  </si>
  <si>
    <t>А40-36793/2024</t>
  </si>
  <si>
    <t>ООО "Астерия Логистик"</t>
  </si>
  <si>
    <t>7733420707</t>
  </si>
  <si>
    <t>ООО "Мерсим"</t>
  </si>
  <si>
    <t>2543170295</t>
  </si>
  <si>
    <t>Мазурина Александра Александровна</t>
  </si>
  <si>
    <t>690014, Приморский край, г Владивосток, Народный пр-кт, д. 28, офис 317</t>
  </si>
  <si>
    <t>Деятельность агентов по оптовой торговле универсальным ассортиментом товаров (46.19)</t>
  </si>
  <si>
    <t>ОБЩЕСТВО С ОГРАНИЧЕННОЙ ОТВЕТСТВЕННОСТЬЮ "АСТЕРИЯ ЛОГИСТИК"</t>
  </si>
  <si>
    <t>ОБЩЕСТВО С ОГРАНИЧЕННОЙ ОТВЕТСТВЕННОСТЬЮ "МЕРСИМ"</t>
  </si>
  <si>
    <t>constantaprof@gmail.com</t>
  </si>
  <si>
    <t>+7 (495) 134-55-89</t>
  </si>
  <si>
    <t>https://kad.arbitr.ru/Card/9176b0ee-9554-42cb-88ce-43fae54ebf26</t>
  </si>
  <si>
    <t>А40-36772/2024</t>
  </si>
  <si>
    <t>ООО "Торговый Центр"</t>
  </si>
  <si>
    <t>5005004520</t>
  </si>
  <si>
    <t>ООО "Металлэксперт"</t>
  </si>
  <si>
    <t>7706452700</t>
  </si>
  <si>
    <t>Залученов Эдуард Валерьевич</t>
  </si>
  <si>
    <t>434600186643</t>
  </si>
  <si>
    <t>105094, город Москва, Гольяновская ул, д. 3а к. 3, помещ. VI ком. 1, офис 12/9</t>
  </si>
  <si>
    <t>Производство строительных металлических конструкций, изделий и их частей (25.11)</t>
  </si>
  <si>
    <t>ОБЩЕСТВО С ОГРАНИЧЕННОЙ ОТВЕТСТВЕННОСТЬЮ "ТОРГОВЫЙ ЦЕНТР"</t>
  </si>
  <si>
    <t>ОБЩЕСТВО С ОГРАНИЧЕННОЙ ОТВЕТСТВЕННОСТЬЮ "МЕТАЛЛЭКСПЕРТ"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</si>
</sst>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&quot;.&quot;"/>
    <numFmt numFmtId="165" formatCode="#,##0.00\ &quot;₽&quot;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4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1"/>
  <sheetViews>
    <sheetView tabSelected="1" zoomScale="70" zoomScaleNormal="70" workbookViewId="0">
      <selection activeCell="A2" sqref="A2"/>
    </sheetView>
  </sheetViews>
  <sheetFormatPr defaultColWidth="8.85546875" defaultRowHeight="24.95" customHeight="1" x14ac:dyDescent="0.25"/>
  <cols>
    <col min="1" max="1" width="8.85546875" style="1"/>
    <col min="2" max="2" width="20.7109375" style="1" customWidth="1"/>
    <col min="3" max="3" width="17.7109375" style="1" customWidth="1"/>
    <col min="4" max="4" width="16.85546875" style="1" customWidth="1"/>
    <col min="5" max="5" width="16.42578125" style="1" customWidth="1"/>
    <col min="6" max="6" width="17.140625" style="1" customWidth="1"/>
    <col min="7" max="7" width="27" style="1" customWidth="1"/>
    <col min="8" max="8" width="18.28515625" style="2" customWidth="1"/>
    <col min="9" max="9" width="28" style="2" customWidth="1"/>
    <col min="10" max="10" width="18.28515625" style="2" customWidth="1"/>
    <col min="11" max="11" width="38.140625" style="2" customWidth="1"/>
    <col min="12" max="12" width="19.7109375" style="2" customWidth="1"/>
    <col min="13" max="13" width="20.140625" style="3" customWidth="1"/>
    <col min="14" max="14" width="20.140625" style="1" customWidth="1"/>
    <col min="15" max="15" width="10" style="1" customWidth="1"/>
    <col min="16" max="16" width="40.85546875" style="1" customWidth="1"/>
    <col min="17" max="17" width="43.7109375" style="1" customWidth="1"/>
    <col min="18" max="18" width="17.28515625" style="1" customWidth="1"/>
    <col min="19" max="19" width="30.7109375" style="1" customWidth="1"/>
    <col min="20" max="20" width="19.140625" style="1" customWidth="1"/>
    <col min="21" max="21" width="22.5703125" style="1" customWidth="1"/>
    <col min="22" max="22" width="22.7109375" style="1" customWidth="1"/>
    <col min="23" max="16384" width="8.85546875" style="1"/>
  </cols>
  <sheetData>
    <row r="1" spans="1:23" s="4" customFormat="1" ht="15.75" x14ac:dyDescent="0.25">
      <c r="A1" s="4" t="s">
        <v>22</v>
      </c>
      <c r="B1" s="4" t="s">
        <v>3</v>
      </c>
      <c r="C1" s="5" t="s">
        <v>0</v>
      </c>
      <c r="D1" s="4" t="s">
        <v>19</v>
      </c>
      <c r="E1" s="5" t="s">
        <v>4</v>
      </c>
      <c r="F1" s="5" t="s">
        <v>5</v>
      </c>
      <c r="G1" s="5" t="s">
        <v>15</v>
      </c>
      <c r="H1" s="6" t="s">
        <v>13</v>
      </c>
      <c r="I1" s="5" t="s">
        <v>18</v>
      </c>
      <c r="J1" s="6" t="s">
        <v>14</v>
      </c>
      <c r="K1" s="5" t="s">
        <v>7</v>
      </c>
      <c r="L1" s="7" t="s">
        <v>20</v>
      </c>
      <c r="M1" s="8" t="s">
        <v>1</v>
      </c>
      <c r="N1" s="5" t="s">
        <v>10</v>
      </c>
      <c r="O1" s="5" t="s">
        <v>9</v>
      </c>
      <c r="P1" s="5" t="s">
        <v>6</v>
      </c>
      <c r="Q1" s="5" t="s">
        <v>2</v>
      </c>
      <c r="R1" s="5" t="s">
        <v>8</v>
      </c>
      <c r="S1" s="5" t="s">
        <v>11</v>
      </c>
      <c r="T1" s="4" t="s">
        <v>16</v>
      </c>
      <c r="U1" s="5" t="s">
        <v>12</v>
      </c>
      <c r="V1" s="4" t="s">
        <v>17</v>
      </c>
      <c r="W1" s="4" t="s">
        <v>21</v>
      </c>
    </row>
    <row r="2" spans="1:23" ht="24.95" customHeight="1" x14ac:dyDescent="0.25">
      <c r="A2" s="9">
        <f>SUBTOTAL(103,$F$1:F2)-1</f>
        <v>1</v>
      </c>
      <c r="B2" s="1" t="s">
        <v>24</v>
      </c>
      <c r="C2" s="1" t="s">
        <v>25</v>
      </c>
      <c r="E2" s="1" t="s">
        <v>26</v>
      </c>
      <c r="F2" s="1" t="s">
        <v>27</v>
      </c>
      <c r="G2" s="1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3">
        <v>4489799</v>
      </c>
      <c r="N2" s="15">
        <v>45342</v>
      </c>
      <c r="O2" s="1">
        <v>1</v>
      </c>
      <c r="P2" s="1" t="s">
        <v>34</v>
      </c>
      <c r="Q2" s="1" t="s">
        <v>35</v>
      </c>
      <c r="R2" s="1" t="s">
        <v>36</v>
      </c>
      <c r="S2" s="1" t="s">
        <v>37</v>
      </c>
      <c r="U2" s="1" t="s">
        <v>38</v>
      </c>
      <c r="W2" s="1" t="s">
        <v>39</v>
      </c>
    </row>
    <row r="3" spans="1:23" ht="24.95" customHeight="1" x14ac:dyDescent="0.25">
      <c r="A3" s="9">
        <f>SUBTOTAL(103,$F$1:F3)-1</f>
        <v>2</v>
      </c>
      <c r="B3" s="1" t="s">
        <v>40</v>
      </c>
      <c r="E3" s="1" t="s">
        <v>41</v>
      </c>
      <c r="F3" s="1" t="s">
        <v>42</v>
      </c>
      <c r="G3" s="1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3">
        <v>3174989.91</v>
      </c>
      <c r="N3" s="15">
        <v>45342</v>
      </c>
      <c r="O3" s="1">
        <v>1</v>
      </c>
      <c r="P3" s="1" t="s">
        <v>49</v>
      </c>
      <c r="Q3" s="1" t="s">
        <v>35</v>
      </c>
      <c r="R3" s="1" t="s">
        <v>50</v>
      </c>
      <c r="S3" s="1" t="s">
        <v>51</v>
      </c>
      <c r="U3" s="1" t="s">
        <v>52</v>
      </c>
      <c r="W3" s="1" t="s">
        <v>53</v>
      </c>
    </row>
    <row r="4" spans="1:23" ht="24.95" customHeight="1" x14ac:dyDescent="0.25">
      <c r="A4" s="9">
        <f>SUBTOTAL(103,$F$1:F4)-1</f>
        <v>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3">
        <v>1118159.01</v>
      </c>
      <c r="N4" s="15">
        <v>45342</v>
      </c>
      <c r="O4" s="1">
        <v>220412</v>
      </c>
      <c r="P4" s="1" t="s">
        <v>65</v>
      </c>
      <c r="Q4" s="1" t="s">
        <v>35</v>
      </c>
      <c r="R4" s="1" t="s">
        <v>66</v>
      </c>
      <c r="S4" s="1" t="s">
        <v>67</v>
      </c>
      <c r="U4" s="1" t="s">
        <v>68</v>
      </c>
      <c r="W4" s="1" t="s">
        <v>39</v>
      </c>
    </row>
    <row r="5" spans="1:23" ht="24.95" customHeight="1" x14ac:dyDescent="0.25">
      <c r="A5" s="9">
        <f>SUBTOTAL(103,$F$1:F5)-1</f>
        <v>4</v>
      </c>
      <c r="C5" s="1" t="s">
        <v>69</v>
      </c>
      <c r="E5" s="1" t="s">
        <v>70</v>
      </c>
      <c r="F5" s="1" t="s">
        <v>71</v>
      </c>
      <c r="G5" s="1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3">
        <v>4306490.6500000004</v>
      </c>
      <c r="N5" s="15">
        <v>45342</v>
      </c>
      <c r="O5" s="1">
        <v>74</v>
      </c>
      <c r="P5" s="1" t="s">
        <v>78</v>
      </c>
      <c r="Q5" s="1" t="s">
        <v>35</v>
      </c>
      <c r="R5" s="1" t="s">
        <v>79</v>
      </c>
      <c r="S5" s="1" t="s">
        <v>80</v>
      </c>
      <c r="U5" s="1" t="s">
        <v>81</v>
      </c>
      <c r="W5" s="1" t="s">
        <v>39</v>
      </c>
    </row>
    <row r="6" spans="1:23" ht="24.95" customHeight="1" x14ac:dyDescent="0.25">
      <c r="A6" s="9">
        <f>SUBTOTAL(103,$F$1:F6)-1</f>
        <v>5</v>
      </c>
      <c r="E6" s="1" t="s">
        <v>82</v>
      </c>
      <c r="F6" s="1" t="s">
        <v>83</v>
      </c>
      <c r="G6" s="1" t="s">
        <v>84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87</v>
      </c>
      <c r="M6" s="3">
        <v>611481</v>
      </c>
      <c r="N6" s="15">
        <v>45342</v>
      </c>
      <c r="O6" s="1">
        <v>1</v>
      </c>
      <c r="P6" s="1" t="s">
        <v>89</v>
      </c>
      <c r="Q6" s="1" t="s">
        <v>35</v>
      </c>
      <c r="R6" s="1" t="s">
        <v>90</v>
      </c>
      <c r="S6" s="1" t="s">
        <v>91</v>
      </c>
      <c r="U6" s="1" t="s">
        <v>86</v>
      </c>
      <c r="W6" s="1" t="s">
        <v>39</v>
      </c>
    </row>
    <row r="7" spans="1:23" ht="24.95" customHeight="1" x14ac:dyDescent="0.25">
      <c r="A7" s="9">
        <f>SUBTOTAL(103,$F$1:F7)-1</f>
        <v>6</v>
      </c>
      <c r="C7" s="1" t="s">
        <v>92</v>
      </c>
      <c r="D7" s="1" t="s">
        <v>93</v>
      </c>
      <c r="E7" s="1" t="s">
        <v>94</v>
      </c>
      <c r="F7" s="1" t="s">
        <v>95</v>
      </c>
      <c r="G7" s="1" t="s">
        <v>96</v>
      </c>
      <c r="H7" s="2" t="s">
        <v>97</v>
      </c>
      <c r="I7" s="2" t="s">
        <v>98</v>
      </c>
      <c r="J7" s="2" t="s">
        <v>99</v>
      </c>
      <c r="K7" s="2" t="s">
        <v>100</v>
      </c>
      <c r="L7" s="2" t="s">
        <v>101</v>
      </c>
      <c r="M7" s="3">
        <v>663120.56000000006</v>
      </c>
      <c r="N7" s="15">
        <v>45342</v>
      </c>
      <c r="O7" s="1">
        <v>9</v>
      </c>
      <c r="P7" s="1" t="s">
        <v>102</v>
      </c>
      <c r="Q7" s="1" t="s">
        <v>35</v>
      </c>
      <c r="R7" s="1" t="s">
        <v>103</v>
      </c>
      <c r="S7" s="1" t="s">
        <v>104</v>
      </c>
      <c r="U7" s="1" t="s">
        <v>105</v>
      </c>
      <c r="W7" s="1" t="s">
        <v>39</v>
      </c>
    </row>
    <row r="8" spans="1:23" ht="24.95" customHeight="1" x14ac:dyDescent="0.25">
      <c r="A8" s="9">
        <f>SUBTOTAL(103,$F$1:F8)-1</f>
        <v>7</v>
      </c>
      <c r="B8" s="1" t="s">
        <v>106</v>
      </c>
      <c r="C8" s="1" t="s">
        <v>107</v>
      </c>
      <c r="D8" s="1" t="s">
        <v>108</v>
      </c>
      <c r="E8" s="1" t="s">
        <v>109</v>
      </c>
      <c r="F8" s="1" t="s">
        <v>110</v>
      </c>
      <c r="G8" s="1" t="s">
        <v>111</v>
      </c>
      <c r="H8" s="2" t="s">
        <v>112</v>
      </c>
      <c r="I8" s="2" t="s">
        <v>113</v>
      </c>
      <c r="J8" s="2" t="s">
        <v>114</v>
      </c>
      <c r="K8" s="2" t="s">
        <v>115</v>
      </c>
      <c r="L8" s="2" t="s">
        <v>116</v>
      </c>
      <c r="M8" s="3">
        <v>744855.11</v>
      </c>
      <c r="N8" s="15">
        <v>45342</v>
      </c>
      <c r="O8" s="1">
        <v>15023</v>
      </c>
      <c r="P8" s="1" t="s">
        <v>117</v>
      </c>
      <c r="Q8" s="1" t="s">
        <v>35</v>
      </c>
      <c r="R8" s="1" t="s">
        <v>118</v>
      </c>
      <c r="S8" s="1" t="s">
        <v>119</v>
      </c>
      <c r="U8" s="1" t="s">
        <v>120</v>
      </c>
      <c r="W8" s="1" t="s">
        <v>39</v>
      </c>
    </row>
    <row r="9" spans="1:23" ht="24.95" customHeight="1" x14ac:dyDescent="0.25">
      <c r="A9" s="9">
        <f>SUBTOTAL(103,$F$1:F9)-1</f>
        <v>8</v>
      </c>
      <c r="E9" s="1" t="s">
        <v>121</v>
      </c>
      <c r="F9" s="1" t="s">
        <v>122</v>
      </c>
      <c r="G9" s="1" t="s">
        <v>123</v>
      </c>
      <c r="H9" s="2" t="s">
        <v>124</v>
      </c>
      <c r="I9" s="2" t="s">
        <v>125</v>
      </c>
      <c r="J9" s="2" t="s">
        <v>126</v>
      </c>
      <c r="K9" s="2" t="s">
        <v>127</v>
      </c>
      <c r="L9" s="2" t="s">
        <v>128</v>
      </c>
      <c r="M9" s="3">
        <v>506700</v>
      </c>
      <c r="N9" s="15">
        <v>45342</v>
      </c>
      <c r="O9" s="1">
        <v>4</v>
      </c>
      <c r="P9" s="1" t="s">
        <v>129</v>
      </c>
      <c r="Q9" s="1" t="s">
        <v>35</v>
      </c>
      <c r="R9" s="1" t="s">
        <v>130</v>
      </c>
      <c r="S9" s="1" t="s">
        <v>131</v>
      </c>
      <c r="U9" s="1" t="s">
        <v>132</v>
      </c>
      <c r="W9" s="1" t="s">
        <v>39</v>
      </c>
    </row>
    <row r="10" spans="1:23" ht="24.95" customHeight="1" x14ac:dyDescent="0.25">
      <c r="A10" s="9">
        <f>SUBTOTAL(103,$F$1:F10)-1</f>
        <v>9</v>
      </c>
      <c r="B10" s="1" t="s">
        <v>133</v>
      </c>
      <c r="C10" s="1" t="s">
        <v>134</v>
      </c>
      <c r="D10" s="1" t="s">
        <v>135</v>
      </c>
      <c r="E10" s="1" t="s">
        <v>136</v>
      </c>
      <c r="F10" s="1" t="s">
        <v>137</v>
      </c>
      <c r="G10" s="1" t="s">
        <v>138</v>
      </c>
      <c r="H10" s="2" t="s">
        <v>139</v>
      </c>
      <c r="I10" s="2" t="s">
        <v>96</v>
      </c>
      <c r="J10" s="2" t="s">
        <v>97</v>
      </c>
      <c r="K10" s="2" t="s">
        <v>140</v>
      </c>
      <c r="L10" s="2" t="s">
        <v>141</v>
      </c>
      <c r="M10" s="3">
        <v>330346000</v>
      </c>
      <c r="N10" s="15">
        <v>45342</v>
      </c>
      <c r="O10" s="1">
        <v>72536</v>
      </c>
      <c r="P10" s="1" t="s">
        <v>142</v>
      </c>
      <c r="Q10" s="1" t="s">
        <v>35</v>
      </c>
      <c r="R10" s="1" t="s">
        <v>143</v>
      </c>
      <c r="S10" s="1" t="s">
        <v>144</v>
      </c>
      <c r="U10" s="1" t="s">
        <v>104</v>
      </c>
      <c r="W10" s="1" t="s">
        <v>39</v>
      </c>
    </row>
    <row r="11" spans="1:23" ht="24.95" customHeight="1" x14ac:dyDescent="0.25">
      <c r="A11" s="9">
        <f>SUBTOTAL(103,$F$1:F11)-1</f>
        <v>10</v>
      </c>
      <c r="B11" s="1" t="s">
        <v>54</v>
      </c>
      <c r="C11" s="1" t="s">
        <v>55</v>
      </c>
      <c r="D11" s="1" t="s">
        <v>56</v>
      </c>
      <c r="E11" s="1" t="s">
        <v>145</v>
      </c>
      <c r="F11" s="1" t="s">
        <v>146</v>
      </c>
      <c r="G11" s="1" t="s">
        <v>147</v>
      </c>
      <c r="H11" s="2" t="s">
        <v>148</v>
      </c>
      <c r="I11" s="2" t="s">
        <v>61</v>
      </c>
      <c r="J11" s="2" t="s">
        <v>62</v>
      </c>
      <c r="K11" s="2" t="s">
        <v>63</v>
      </c>
      <c r="L11" s="2" t="s">
        <v>64</v>
      </c>
      <c r="M11" s="3">
        <v>731393</v>
      </c>
      <c r="N11" s="15">
        <v>45342</v>
      </c>
      <c r="O11" s="1">
        <v>220412</v>
      </c>
      <c r="P11" s="1" t="s">
        <v>65</v>
      </c>
      <c r="Q11" s="1" t="s">
        <v>35</v>
      </c>
      <c r="R11" s="1" t="s">
        <v>66</v>
      </c>
      <c r="S11" s="1" t="s">
        <v>149</v>
      </c>
      <c r="U11" s="1" t="s">
        <v>68</v>
      </c>
      <c r="W11" s="1" t="s">
        <v>39</v>
      </c>
    </row>
    <row r="12" spans="1:23" ht="24.95" customHeight="1" x14ac:dyDescent="0.25">
      <c r="A12" s="9">
        <f>SUBTOTAL(103,$F$1:F12)-1</f>
        <v>11</v>
      </c>
      <c r="E12" s="1" t="s">
        <v>150</v>
      </c>
      <c r="F12" s="1" t="s">
        <v>151</v>
      </c>
      <c r="G12" s="1" t="s">
        <v>152</v>
      </c>
      <c r="H12" s="2" t="s">
        <v>153</v>
      </c>
      <c r="I12" s="2" t="s">
        <v>154</v>
      </c>
      <c r="J12" s="2" t="s">
        <v>155</v>
      </c>
      <c r="K12" s="2" t="s">
        <v>156</v>
      </c>
      <c r="L12" s="2" t="s">
        <v>157</v>
      </c>
      <c r="M12" s="3">
        <v>3706461.5</v>
      </c>
      <c r="N12" s="15">
        <v>45342</v>
      </c>
      <c r="O12" s="1">
        <v>2</v>
      </c>
      <c r="P12" s="1" t="s">
        <v>158</v>
      </c>
      <c r="Q12" s="1" t="s">
        <v>35</v>
      </c>
      <c r="R12" s="1" t="s">
        <v>159</v>
      </c>
      <c r="S12" s="1" t="s">
        <v>160</v>
      </c>
      <c r="U12" s="1" t="s">
        <v>161</v>
      </c>
      <c r="W12" s="1" t="s">
        <v>39</v>
      </c>
    </row>
    <row r="13" spans="1:23" ht="24.95" customHeight="1" x14ac:dyDescent="0.25">
      <c r="A13" s="9">
        <f>SUBTOTAL(103,$F$1:F13)-1</f>
        <v>12</v>
      </c>
      <c r="B13" s="1" t="s">
        <v>162</v>
      </c>
      <c r="C13" s="1" t="s">
        <v>163</v>
      </c>
      <c r="D13" s="1" t="s">
        <v>164</v>
      </c>
      <c r="E13" s="1" t="s">
        <v>165</v>
      </c>
      <c r="F13" s="1" t="s">
        <v>166</v>
      </c>
      <c r="G13" s="1" t="s">
        <v>167</v>
      </c>
      <c r="H13" s="2" t="s">
        <v>168</v>
      </c>
      <c r="I13" s="2" t="s">
        <v>169</v>
      </c>
      <c r="J13" s="2" t="s">
        <v>170</v>
      </c>
      <c r="K13" s="2" t="s">
        <v>171</v>
      </c>
      <c r="L13" s="2" t="s">
        <v>172</v>
      </c>
      <c r="M13" s="3">
        <v>1360795.45</v>
      </c>
      <c r="N13" s="15">
        <v>45342</v>
      </c>
      <c r="O13" s="1">
        <v>193</v>
      </c>
      <c r="P13" s="1" t="s">
        <v>173</v>
      </c>
      <c r="Q13" s="1" t="s">
        <v>35</v>
      </c>
      <c r="R13" s="1" t="s">
        <v>174</v>
      </c>
      <c r="S13" s="1" t="s">
        <v>175</v>
      </c>
      <c r="U13" s="1" t="s">
        <v>176</v>
      </c>
      <c r="W13" s="1" t="s">
        <v>39</v>
      </c>
    </row>
    <row r="14" spans="1:23" ht="24.95" customHeight="1" x14ac:dyDescent="0.25">
      <c r="A14" s="9">
        <f>SUBTOTAL(103,$F$1:F14)-1</f>
        <v>13</v>
      </c>
      <c r="B14" s="1" t="s">
        <v>177</v>
      </c>
      <c r="E14" s="1" t="s">
        <v>178</v>
      </c>
      <c r="F14" s="1" t="s">
        <v>179</v>
      </c>
      <c r="G14" s="1" t="s">
        <v>180</v>
      </c>
      <c r="H14" s="2" t="s">
        <v>181</v>
      </c>
      <c r="I14" s="2" t="s">
        <v>182</v>
      </c>
      <c r="J14" s="2" t="s">
        <v>183</v>
      </c>
      <c r="K14" s="2" t="s">
        <v>184</v>
      </c>
      <c r="L14" s="2" t="s">
        <v>185</v>
      </c>
      <c r="M14" s="3">
        <v>620607.5</v>
      </c>
      <c r="N14" s="15">
        <v>45342</v>
      </c>
      <c r="O14" s="1">
        <v>36</v>
      </c>
      <c r="P14" s="1" t="s">
        <v>186</v>
      </c>
      <c r="Q14" s="1" t="s">
        <v>35</v>
      </c>
      <c r="R14" s="1" t="s">
        <v>187</v>
      </c>
      <c r="S14" s="1" t="s">
        <v>188</v>
      </c>
      <c r="U14" s="1" t="s">
        <v>189</v>
      </c>
      <c r="W14" s="1" t="s">
        <v>39</v>
      </c>
    </row>
    <row r="15" spans="1:23" ht="24.95" customHeight="1" x14ac:dyDescent="0.25">
      <c r="A15" s="9">
        <f>SUBTOTAL(103,$F$1:F15)-1</f>
        <v>14</v>
      </c>
      <c r="C15" s="1" t="s">
        <v>190</v>
      </c>
      <c r="E15" s="1" t="s">
        <v>191</v>
      </c>
      <c r="F15" s="1" t="s">
        <v>192</v>
      </c>
      <c r="G15" s="1" t="s">
        <v>193</v>
      </c>
      <c r="H15" s="2" t="s">
        <v>194</v>
      </c>
      <c r="I15" s="2" t="s">
        <v>195</v>
      </c>
      <c r="J15" s="2" t="s">
        <v>196</v>
      </c>
      <c r="K15" s="2" t="s">
        <v>197</v>
      </c>
      <c r="L15" s="2" t="s">
        <v>198</v>
      </c>
      <c r="M15" s="3">
        <v>778186.33</v>
      </c>
      <c r="N15" s="15">
        <v>45342</v>
      </c>
      <c r="O15" s="1">
        <v>11</v>
      </c>
      <c r="P15" s="1" t="s">
        <v>199</v>
      </c>
      <c r="Q15" s="1" t="s">
        <v>35</v>
      </c>
      <c r="R15" s="1" t="s">
        <v>200</v>
      </c>
      <c r="S15" s="1" t="s">
        <v>201</v>
      </c>
      <c r="U15" s="1" t="s">
        <v>202</v>
      </c>
      <c r="W15" s="1" t="s">
        <v>39</v>
      </c>
    </row>
    <row r="16" spans="1:23" ht="24.95" customHeight="1" x14ac:dyDescent="0.25">
      <c r="A16" s="9">
        <f>SUBTOTAL(103,$F$1:F16)-1</f>
        <v>15</v>
      </c>
      <c r="C16" s="1" t="s">
        <v>203</v>
      </c>
      <c r="E16" s="1" t="s">
        <v>204</v>
      </c>
      <c r="F16" s="1" t="s">
        <v>205</v>
      </c>
      <c r="G16" s="1" t="s">
        <v>206</v>
      </c>
      <c r="H16" s="2" t="s">
        <v>207</v>
      </c>
      <c r="I16" s="2" t="s">
        <v>208</v>
      </c>
      <c r="J16" s="2" t="s">
        <v>209</v>
      </c>
      <c r="K16" s="2" t="s">
        <v>210</v>
      </c>
      <c r="L16" s="2" t="s">
        <v>211</v>
      </c>
      <c r="M16" s="3">
        <v>671100</v>
      </c>
      <c r="N16" s="15">
        <v>45342</v>
      </c>
      <c r="O16" s="1">
        <v>18</v>
      </c>
      <c r="P16" s="1" t="s">
        <v>212</v>
      </c>
      <c r="Q16" s="1" t="s">
        <v>35</v>
      </c>
      <c r="R16" s="1" t="s">
        <v>36</v>
      </c>
      <c r="S16" s="1" t="s">
        <v>213</v>
      </c>
      <c r="U16" s="1" t="s">
        <v>214</v>
      </c>
      <c r="W16" s="1" t="s">
        <v>39</v>
      </c>
    </row>
    <row r="17" spans="1:23" ht="24.95" customHeight="1" x14ac:dyDescent="0.25">
      <c r="A17" s="9">
        <f>SUBTOTAL(103,$F$1:F17)-1</f>
        <v>16</v>
      </c>
      <c r="E17" s="1" t="s">
        <v>215</v>
      </c>
      <c r="F17" s="1" t="s">
        <v>216</v>
      </c>
      <c r="G17" s="1" t="s">
        <v>217</v>
      </c>
      <c r="H17" s="2" t="s">
        <v>218</v>
      </c>
      <c r="I17" s="2" t="s">
        <v>219</v>
      </c>
      <c r="J17" s="2" t="s">
        <v>220</v>
      </c>
      <c r="K17" s="2" t="s">
        <v>221</v>
      </c>
      <c r="L17" s="2" t="s">
        <v>222</v>
      </c>
      <c r="M17" s="3">
        <v>3167055.13</v>
      </c>
      <c r="N17" s="15">
        <v>45342</v>
      </c>
      <c r="O17" s="1">
        <v>26</v>
      </c>
      <c r="P17" s="1" t="s">
        <v>223</v>
      </c>
      <c r="Q17" s="1" t="s">
        <v>35</v>
      </c>
      <c r="R17" s="1" t="s">
        <v>224</v>
      </c>
      <c r="S17" s="1" t="s">
        <v>225</v>
      </c>
      <c r="U17" s="1" t="s">
        <v>226</v>
      </c>
      <c r="W17" s="1" t="s">
        <v>39</v>
      </c>
    </row>
    <row r="18" spans="1:23" ht="24.95" customHeight="1" x14ac:dyDescent="0.25">
      <c r="A18" s="9">
        <f>SUBTOTAL(103,$F$1:F18)-1</f>
        <v>17</v>
      </c>
      <c r="B18" s="1" t="s">
        <v>227</v>
      </c>
      <c r="C18" s="1" t="s">
        <v>228</v>
      </c>
      <c r="E18" s="1" t="s">
        <v>229</v>
      </c>
      <c r="F18" s="1" t="s">
        <v>230</v>
      </c>
      <c r="G18" s="1" t="s">
        <v>231</v>
      </c>
      <c r="H18" s="2" t="s">
        <v>232</v>
      </c>
      <c r="I18" s="2" t="s">
        <v>233</v>
      </c>
      <c r="J18" s="2" t="s">
        <v>234</v>
      </c>
      <c r="K18" s="2" t="s">
        <v>235</v>
      </c>
      <c r="L18" s="2" t="s">
        <v>236</v>
      </c>
      <c r="M18" s="3">
        <v>1907403.01</v>
      </c>
      <c r="N18" s="15">
        <v>45342</v>
      </c>
      <c r="O18" s="1">
        <v>29</v>
      </c>
      <c r="P18" s="1" t="s">
        <v>237</v>
      </c>
      <c r="Q18" s="1" t="s">
        <v>35</v>
      </c>
      <c r="R18" s="1" t="s">
        <v>238</v>
      </c>
      <c r="S18" s="1" t="s">
        <v>239</v>
      </c>
      <c r="U18" s="1" t="s">
        <v>240</v>
      </c>
      <c r="W18" s="1" t="s">
        <v>39</v>
      </c>
    </row>
    <row r="19" spans="1:23" ht="24.95" customHeight="1" x14ac:dyDescent="0.25">
      <c r="A19" s="9">
        <f>SUBTOTAL(103,$F$1:F19)-1</f>
        <v>18</v>
      </c>
      <c r="B19" s="1" t="s">
        <v>241</v>
      </c>
      <c r="C19" s="1" t="s">
        <v>242</v>
      </c>
      <c r="D19" s="1" t="s">
        <v>243</v>
      </c>
      <c r="E19" s="1" t="s">
        <v>244</v>
      </c>
      <c r="F19" s="1" t="s">
        <v>245</v>
      </c>
      <c r="G19" s="1" t="s">
        <v>96</v>
      </c>
      <c r="H19" s="2" t="s">
        <v>97</v>
      </c>
      <c r="I19" s="2" t="s">
        <v>246</v>
      </c>
      <c r="J19" s="2" t="s">
        <v>247</v>
      </c>
      <c r="K19" s="2" t="s">
        <v>248</v>
      </c>
      <c r="L19" s="2" t="s">
        <v>249</v>
      </c>
      <c r="M19" s="3">
        <v>952992.01</v>
      </c>
      <c r="N19" s="15">
        <v>45342</v>
      </c>
      <c r="O19" s="1">
        <v>26</v>
      </c>
      <c r="P19" s="1" t="s">
        <v>250</v>
      </c>
      <c r="Q19" s="1" t="s">
        <v>35</v>
      </c>
      <c r="R19" s="1" t="s">
        <v>251</v>
      </c>
      <c r="S19" s="1" t="s">
        <v>104</v>
      </c>
      <c r="U19" s="1" t="s">
        <v>252</v>
      </c>
      <c r="W19" s="1" t="s">
        <v>39</v>
      </c>
    </row>
    <row r="20" spans="1:23" ht="24.95" customHeight="1" x14ac:dyDescent="0.25">
      <c r="A20" s="9">
        <f>SUBTOTAL(103,$F$1:F20)-1</f>
        <v>19</v>
      </c>
      <c r="B20" s="1" t="s">
        <v>54</v>
      </c>
      <c r="C20" s="1" t="s">
        <v>55</v>
      </c>
      <c r="D20" s="1" t="s">
        <v>56</v>
      </c>
      <c r="E20" s="1" t="s">
        <v>253</v>
      </c>
      <c r="F20" s="1" t="s">
        <v>254</v>
      </c>
      <c r="G20" s="1" t="s">
        <v>255</v>
      </c>
      <c r="H20" s="2" t="s">
        <v>256</v>
      </c>
      <c r="I20" s="2" t="s">
        <v>61</v>
      </c>
      <c r="J20" s="2" t="s">
        <v>62</v>
      </c>
      <c r="K20" s="2" t="s">
        <v>63</v>
      </c>
      <c r="L20" s="2" t="s">
        <v>64</v>
      </c>
      <c r="M20" s="3">
        <v>1178136.1599999999</v>
      </c>
      <c r="N20" s="15">
        <v>45342</v>
      </c>
      <c r="O20" s="1">
        <v>220413</v>
      </c>
      <c r="P20" s="1" t="s">
        <v>65</v>
      </c>
      <c r="Q20" s="1" t="s">
        <v>35</v>
      </c>
      <c r="R20" s="1" t="s">
        <v>66</v>
      </c>
      <c r="S20" s="1" t="s">
        <v>257</v>
      </c>
      <c r="U20" s="1" t="s">
        <v>68</v>
      </c>
      <c r="W20" s="1" t="s">
        <v>39</v>
      </c>
    </row>
    <row r="21" spans="1:23" ht="24.95" customHeight="1" x14ac:dyDescent="0.25">
      <c r="A21" s="9">
        <f>SUBTOTAL(103,$F$1:F21)-1</f>
        <v>20</v>
      </c>
      <c r="E21" s="1" t="s">
        <v>258</v>
      </c>
      <c r="F21" s="1" t="s">
        <v>259</v>
      </c>
      <c r="G21" s="1" t="s">
        <v>260</v>
      </c>
      <c r="H21" s="2" t="s">
        <v>261</v>
      </c>
      <c r="I21" s="2" t="s">
        <v>262</v>
      </c>
      <c r="J21" s="2" t="s">
        <v>263</v>
      </c>
      <c r="K21" s="2" t="s">
        <v>264</v>
      </c>
      <c r="L21" s="2" t="s">
        <v>265</v>
      </c>
      <c r="M21" s="3">
        <v>559266.07999999996</v>
      </c>
      <c r="N21" s="15">
        <v>45342</v>
      </c>
      <c r="O21" s="1">
        <v>17</v>
      </c>
      <c r="P21" s="1" t="s">
        <v>266</v>
      </c>
      <c r="Q21" s="1" t="s">
        <v>35</v>
      </c>
      <c r="R21" s="1" t="s">
        <v>267</v>
      </c>
      <c r="S21" s="1" t="s">
        <v>268</v>
      </c>
      <c r="U21" s="1" t="s">
        <v>269</v>
      </c>
      <c r="W21" s="1" t="s">
        <v>270</v>
      </c>
    </row>
    <row r="22" spans="1:23" ht="24.95" customHeight="1" x14ac:dyDescent="0.25">
      <c r="A22" s="9">
        <f>SUBTOTAL(103,$F$1:F22)-1</f>
        <v>21</v>
      </c>
      <c r="B22" s="1" t="s">
        <v>271</v>
      </c>
      <c r="C22" s="1">
        <v>79266339592</v>
      </c>
      <c r="E22" s="1" t="s">
        <v>272</v>
      </c>
      <c r="F22" s="1" t="s">
        <v>273</v>
      </c>
      <c r="G22" s="1" t="s">
        <v>274</v>
      </c>
      <c r="H22" s="2" t="s">
        <v>275</v>
      </c>
      <c r="I22" s="2" t="s">
        <v>276</v>
      </c>
      <c r="J22" s="2" t="s">
        <v>277</v>
      </c>
      <c r="K22" s="2" t="s">
        <v>278</v>
      </c>
      <c r="L22" s="2" t="s">
        <v>279</v>
      </c>
      <c r="M22" s="3">
        <v>2628672</v>
      </c>
      <c r="N22" s="15">
        <v>45342</v>
      </c>
      <c r="O22" s="1">
        <v>2</v>
      </c>
      <c r="P22" s="1" t="s">
        <v>280</v>
      </c>
      <c r="Q22" s="1" t="s">
        <v>35</v>
      </c>
      <c r="R22" s="1" t="s">
        <v>174</v>
      </c>
      <c r="S22" s="1" t="s">
        <v>281</v>
      </c>
      <c r="U22" s="1" t="s">
        <v>282</v>
      </c>
      <c r="W22" s="1" t="s">
        <v>39</v>
      </c>
    </row>
    <row r="23" spans="1:23" ht="24.95" customHeight="1" x14ac:dyDescent="0.25">
      <c r="A23" s="9">
        <f>SUBTOTAL(103,$F$1:F23)-1</f>
        <v>22</v>
      </c>
      <c r="E23" s="1" t="s">
        <v>283</v>
      </c>
      <c r="F23" s="1" t="s">
        <v>284</v>
      </c>
      <c r="G23" s="1" t="s">
        <v>285</v>
      </c>
      <c r="H23" s="2" t="s">
        <v>286</v>
      </c>
      <c r="I23" s="2" t="s">
        <v>287</v>
      </c>
      <c r="J23" s="2" t="s">
        <v>288</v>
      </c>
      <c r="K23" s="2" t="s">
        <v>289</v>
      </c>
      <c r="L23" s="2" t="s">
        <v>290</v>
      </c>
      <c r="M23" s="3">
        <v>3093717.41</v>
      </c>
      <c r="N23" s="15">
        <v>45342</v>
      </c>
      <c r="O23" s="1">
        <v>1</v>
      </c>
      <c r="P23" s="1" t="s">
        <v>291</v>
      </c>
      <c r="Q23" s="1" t="s">
        <v>35</v>
      </c>
      <c r="R23" s="1" t="s">
        <v>292</v>
      </c>
      <c r="S23" s="1" t="s">
        <v>293</v>
      </c>
      <c r="U23" s="1" t="s">
        <v>294</v>
      </c>
      <c r="W23" s="1" t="s">
        <v>39</v>
      </c>
    </row>
    <row r="24" spans="1:23" ht="24.95" customHeight="1" x14ac:dyDescent="0.25">
      <c r="A24" s="9">
        <f>SUBTOTAL(103,$F$1:F24)-1</f>
        <v>23</v>
      </c>
      <c r="E24" s="1" t="s">
        <v>295</v>
      </c>
      <c r="F24" s="1" t="s">
        <v>296</v>
      </c>
      <c r="G24" s="1" t="s">
        <v>167</v>
      </c>
      <c r="H24" s="2" t="s">
        <v>168</v>
      </c>
      <c r="I24" s="2" t="s">
        <v>297</v>
      </c>
      <c r="J24" s="2" t="s">
        <v>298</v>
      </c>
      <c r="K24" s="2" t="s">
        <v>299</v>
      </c>
      <c r="L24" s="2" t="s">
        <v>300</v>
      </c>
      <c r="M24" s="3">
        <v>1921285.72</v>
      </c>
      <c r="N24" s="15">
        <v>45342</v>
      </c>
      <c r="O24" s="1">
        <v>22</v>
      </c>
      <c r="P24" s="1" t="s">
        <v>301</v>
      </c>
      <c r="Q24" s="1" t="s">
        <v>35</v>
      </c>
      <c r="R24" s="1" t="s">
        <v>302</v>
      </c>
      <c r="S24" s="1" t="s">
        <v>175</v>
      </c>
      <c r="U24" s="1" t="s">
        <v>303</v>
      </c>
      <c r="W24" s="1" t="s">
        <v>39</v>
      </c>
    </row>
    <row r="25" spans="1:23" ht="24.95" customHeight="1" x14ac:dyDescent="0.25">
      <c r="A25" s="9">
        <f>SUBTOTAL(103,$F$1:F25)-1</f>
        <v>24</v>
      </c>
      <c r="C25" s="1" t="s">
        <v>304</v>
      </c>
      <c r="E25" s="1" t="s">
        <v>305</v>
      </c>
      <c r="F25" s="1" t="s">
        <v>306</v>
      </c>
      <c r="G25" s="1" t="s">
        <v>307</v>
      </c>
      <c r="H25" s="2" t="s">
        <v>308</v>
      </c>
      <c r="I25" s="2" t="s">
        <v>309</v>
      </c>
      <c r="J25" s="2" t="s">
        <v>310</v>
      </c>
      <c r="K25" s="2" t="s">
        <v>311</v>
      </c>
      <c r="L25" s="2" t="s">
        <v>312</v>
      </c>
      <c r="M25" s="3">
        <v>25743568.350000001</v>
      </c>
      <c r="N25" s="15">
        <v>45342</v>
      </c>
      <c r="O25" s="1">
        <v>16</v>
      </c>
      <c r="P25" s="1" t="s">
        <v>313</v>
      </c>
      <c r="Q25" s="1" t="s">
        <v>35</v>
      </c>
      <c r="R25" s="1" t="s">
        <v>314</v>
      </c>
      <c r="S25" s="1" t="s">
        <v>315</v>
      </c>
      <c r="U25" s="1" t="s">
        <v>316</v>
      </c>
      <c r="W25" s="1" t="s">
        <v>39</v>
      </c>
    </row>
    <row r="26" spans="1:23" ht="24.95" customHeight="1" x14ac:dyDescent="0.25">
      <c r="A26" s="9">
        <f>SUBTOTAL(103,$F$1:F26)-1</f>
        <v>25</v>
      </c>
      <c r="E26" s="1" t="s">
        <v>317</v>
      </c>
      <c r="F26" s="1" t="s">
        <v>318</v>
      </c>
      <c r="G26" s="1" t="s">
        <v>193</v>
      </c>
      <c r="H26" s="2" t="s">
        <v>194</v>
      </c>
      <c r="I26" s="2" t="s">
        <v>319</v>
      </c>
      <c r="J26" s="2" t="s">
        <v>320</v>
      </c>
      <c r="K26" s="2" t="s">
        <v>321</v>
      </c>
      <c r="L26" s="2" t="s">
        <v>322</v>
      </c>
      <c r="M26" s="3">
        <v>758931.9</v>
      </c>
      <c r="N26" s="15">
        <v>45342</v>
      </c>
      <c r="O26" s="1">
        <v>4</v>
      </c>
      <c r="P26" s="1" t="s">
        <v>323</v>
      </c>
      <c r="Q26" s="1" t="s">
        <v>35</v>
      </c>
      <c r="R26" s="1" t="s">
        <v>324</v>
      </c>
      <c r="S26" s="1" t="s">
        <v>201</v>
      </c>
      <c r="U26" s="1" t="s">
        <v>325</v>
      </c>
      <c r="W26" s="1" t="s">
        <v>39</v>
      </c>
    </row>
    <row r="27" spans="1:23" ht="24.95" customHeight="1" x14ac:dyDescent="0.25">
      <c r="A27" s="9">
        <f>SUBTOTAL(103,$F$1:F27)-1</f>
        <v>26</v>
      </c>
      <c r="C27" s="1" t="s">
        <v>326</v>
      </c>
      <c r="D27" s="1" t="s">
        <v>327</v>
      </c>
      <c r="E27" s="1" t="s">
        <v>328</v>
      </c>
      <c r="F27" s="1" t="s">
        <v>329</v>
      </c>
      <c r="G27" s="1" t="s">
        <v>330</v>
      </c>
      <c r="H27" s="2" t="s">
        <v>331</v>
      </c>
      <c r="I27" s="2" t="s">
        <v>332</v>
      </c>
      <c r="J27" s="2" t="s">
        <v>333</v>
      </c>
      <c r="K27" s="2" t="s">
        <v>334</v>
      </c>
      <c r="L27" s="2" t="s">
        <v>335</v>
      </c>
      <c r="M27" s="3">
        <v>7162071.9800000004</v>
      </c>
      <c r="N27" s="15">
        <v>45342</v>
      </c>
      <c r="O27" s="1">
        <v>31</v>
      </c>
      <c r="P27" s="1" t="s">
        <v>336</v>
      </c>
      <c r="Q27" s="1" t="s">
        <v>35</v>
      </c>
      <c r="R27" s="1" t="s">
        <v>337</v>
      </c>
      <c r="S27" s="1" t="s">
        <v>338</v>
      </c>
      <c r="U27" s="1" t="s">
        <v>339</v>
      </c>
      <c r="W27" s="1" t="s">
        <v>39</v>
      </c>
    </row>
    <row r="28" spans="1:23" ht="24.95" customHeight="1" x14ac:dyDescent="0.25">
      <c r="A28" s="9">
        <f>SUBTOTAL(103,$F$1:F28)-1</f>
        <v>27</v>
      </c>
      <c r="B28" s="1" t="s">
        <v>340</v>
      </c>
      <c r="E28" s="1" t="s">
        <v>341</v>
      </c>
      <c r="F28" s="1" t="s">
        <v>342</v>
      </c>
      <c r="G28" s="1" t="s">
        <v>343</v>
      </c>
      <c r="H28" s="2" t="s">
        <v>344</v>
      </c>
      <c r="I28" s="2" t="s">
        <v>345</v>
      </c>
      <c r="J28" s="2" t="s">
        <v>346</v>
      </c>
      <c r="K28" s="2" t="s">
        <v>347</v>
      </c>
      <c r="M28" s="3">
        <v>1893833.16</v>
      </c>
      <c r="N28" s="15">
        <v>45342</v>
      </c>
      <c r="O28" s="1">
        <v>38</v>
      </c>
      <c r="P28" s="1" t="s">
        <v>348</v>
      </c>
      <c r="Q28" s="1" t="s">
        <v>35</v>
      </c>
      <c r="R28" s="1" t="s">
        <v>349</v>
      </c>
      <c r="S28" s="1" t="s">
        <v>350</v>
      </c>
      <c r="U28" s="1" t="s">
        <v>351</v>
      </c>
      <c r="W28" s="1" t="s">
        <v>39</v>
      </c>
    </row>
    <row r="29" spans="1:23" ht="24.95" customHeight="1" x14ac:dyDescent="0.25">
      <c r="A29" s="9">
        <f>SUBTOTAL(103,$F$1:F29)-1</f>
        <v>28</v>
      </c>
      <c r="B29" s="1" t="s">
        <v>352</v>
      </c>
      <c r="C29" s="1" t="s">
        <v>353</v>
      </c>
      <c r="E29" s="1" t="s">
        <v>354</v>
      </c>
      <c r="F29" s="1" t="s">
        <v>355</v>
      </c>
      <c r="G29" s="1" t="s">
        <v>356</v>
      </c>
      <c r="H29" s="2" t="s">
        <v>357</v>
      </c>
      <c r="I29" s="2" t="s">
        <v>358</v>
      </c>
      <c r="J29" s="2" t="s">
        <v>359</v>
      </c>
      <c r="K29" s="2" t="s">
        <v>360</v>
      </c>
      <c r="L29" s="2" t="s">
        <v>361</v>
      </c>
      <c r="M29" s="3">
        <v>70983586.640000001</v>
      </c>
      <c r="N29" s="15">
        <v>45342</v>
      </c>
      <c r="O29" s="1">
        <v>23</v>
      </c>
      <c r="P29" s="1" t="s">
        <v>362</v>
      </c>
      <c r="Q29" s="1" t="s">
        <v>35</v>
      </c>
      <c r="R29" s="1" t="s">
        <v>224</v>
      </c>
      <c r="S29" s="1" t="s">
        <v>363</v>
      </c>
      <c r="U29" s="1" t="s">
        <v>364</v>
      </c>
      <c r="W29" s="1" t="s">
        <v>39</v>
      </c>
    </row>
    <row r="30" spans="1:23" ht="24.95" customHeight="1" x14ac:dyDescent="0.25">
      <c r="A30" s="9">
        <f>SUBTOTAL(103,$F$1:F30)-1</f>
        <v>29</v>
      </c>
      <c r="B30" s="1" t="s">
        <v>365</v>
      </c>
      <c r="E30" s="1" t="s">
        <v>366</v>
      </c>
      <c r="F30" s="1" t="s">
        <v>367</v>
      </c>
      <c r="G30" s="1" t="s">
        <v>368</v>
      </c>
      <c r="H30" s="2" t="s">
        <v>369</v>
      </c>
      <c r="I30" s="2" t="s">
        <v>370</v>
      </c>
      <c r="J30" s="2" t="s">
        <v>371</v>
      </c>
      <c r="K30" s="2" t="s">
        <v>372</v>
      </c>
      <c r="L30" s="2" t="s">
        <v>373</v>
      </c>
      <c r="M30" s="3">
        <v>564253.97</v>
      </c>
      <c r="N30" s="15">
        <v>45342</v>
      </c>
      <c r="O30" s="1">
        <v>5</v>
      </c>
      <c r="P30" s="1" t="s">
        <v>374</v>
      </c>
      <c r="Q30" s="1" t="s">
        <v>35</v>
      </c>
      <c r="R30" s="1" t="s">
        <v>375</v>
      </c>
      <c r="S30" s="1" t="s">
        <v>376</v>
      </c>
      <c r="U30" s="1" t="s">
        <v>377</v>
      </c>
      <c r="W30" s="1" t="s">
        <v>39</v>
      </c>
    </row>
    <row r="31" spans="1:23" ht="24.95" customHeight="1" x14ac:dyDescent="0.25">
      <c r="A31" s="9">
        <f>SUBTOTAL(103,$F$1:F31)-1</f>
        <v>30</v>
      </c>
      <c r="B31" s="1" t="s">
        <v>378</v>
      </c>
      <c r="C31" s="1" t="s">
        <v>379</v>
      </c>
      <c r="E31" s="1" t="s">
        <v>380</v>
      </c>
      <c r="F31" s="1" t="s">
        <v>381</v>
      </c>
      <c r="G31" s="1" t="s">
        <v>382</v>
      </c>
      <c r="H31" s="2" t="s">
        <v>383</v>
      </c>
      <c r="I31" s="2" t="s">
        <v>384</v>
      </c>
      <c r="J31" s="2" t="s">
        <v>385</v>
      </c>
      <c r="K31" s="2" t="s">
        <v>386</v>
      </c>
      <c r="L31" s="2" t="s">
        <v>387</v>
      </c>
      <c r="M31" s="3">
        <v>992375.71</v>
      </c>
      <c r="N31" s="15">
        <v>45342</v>
      </c>
      <c r="O31" s="1">
        <v>2</v>
      </c>
      <c r="P31" s="1" t="s">
        <v>388</v>
      </c>
      <c r="Q31" s="1" t="s">
        <v>35</v>
      </c>
      <c r="R31" s="1" t="s">
        <v>389</v>
      </c>
      <c r="S31" s="1" t="s">
        <v>390</v>
      </c>
      <c r="U31" s="1" t="s">
        <v>391</v>
      </c>
      <c r="W31" s="1" t="s">
        <v>392</v>
      </c>
    </row>
    <row r="32" spans="1:23" ht="24.95" customHeight="1" x14ac:dyDescent="0.25">
      <c r="A32" s="9">
        <f>SUBTOTAL(103,$F$1:F32)-1</f>
        <v>31</v>
      </c>
      <c r="B32" s="1" t="s">
        <v>393</v>
      </c>
      <c r="C32" s="1" t="s">
        <v>394</v>
      </c>
      <c r="E32" s="1" t="s">
        <v>395</v>
      </c>
      <c r="F32" s="1" t="s">
        <v>396</v>
      </c>
      <c r="G32" s="1" t="s">
        <v>397</v>
      </c>
      <c r="H32" s="2" t="s">
        <v>398</v>
      </c>
      <c r="I32" s="2" t="s">
        <v>399</v>
      </c>
      <c r="J32" s="2" t="s">
        <v>400</v>
      </c>
      <c r="K32" s="2" t="s">
        <v>401</v>
      </c>
      <c r="L32" s="2" t="s">
        <v>402</v>
      </c>
      <c r="M32" s="3">
        <v>3186869.71</v>
      </c>
      <c r="N32" s="15">
        <v>45342</v>
      </c>
      <c r="O32" s="1">
        <v>7</v>
      </c>
      <c r="P32" s="1" t="s">
        <v>403</v>
      </c>
      <c r="Q32" s="1" t="s">
        <v>35</v>
      </c>
      <c r="R32" s="1" t="s">
        <v>404</v>
      </c>
      <c r="S32" s="1" t="s">
        <v>405</v>
      </c>
      <c r="U32" s="1" t="s">
        <v>406</v>
      </c>
      <c r="W32" s="1" t="s">
        <v>39</v>
      </c>
    </row>
    <row r="33" spans="1:23" ht="24.95" customHeight="1" x14ac:dyDescent="0.25">
      <c r="A33" s="9">
        <f>SUBTOTAL(103,$F$1:F33)-1</f>
        <v>32</v>
      </c>
      <c r="C33" s="1" t="s">
        <v>407</v>
      </c>
      <c r="E33" s="1" t="s">
        <v>408</v>
      </c>
      <c r="F33" s="1" t="s">
        <v>409</v>
      </c>
      <c r="G33" s="1" t="s">
        <v>410</v>
      </c>
      <c r="H33" s="2" t="s">
        <v>411</v>
      </c>
      <c r="I33" s="2" t="s">
        <v>412</v>
      </c>
      <c r="J33" s="2" t="s">
        <v>413</v>
      </c>
      <c r="K33" s="2" t="s">
        <v>414</v>
      </c>
      <c r="L33" s="2" t="s">
        <v>415</v>
      </c>
      <c r="M33" s="3">
        <v>3207953.92</v>
      </c>
      <c r="N33" s="15">
        <v>45342</v>
      </c>
      <c r="O33" s="1">
        <v>2487</v>
      </c>
      <c r="P33" s="1" t="s">
        <v>416</v>
      </c>
      <c r="Q33" s="1" t="s">
        <v>35</v>
      </c>
      <c r="R33" s="1" t="s">
        <v>417</v>
      </c>
      <c r="S33" s="1" t="s">
        <v>418</v>
      </c>
      <c r="U33" s="1" t="s">
        <v>419</v>
      </c>
      <c r="W33" s="1" t="s">
        <v>420</v>
      </c>
    </row>
    <row r="34" spans="1:23" ht="24.95" customHeight="1" x14ac:dyDescent="0.25">
      <c r="A34" s="9">
        <f>SUBTOTAL(103,$F$1:F34)-1</f>
        <v>33</v>
      </c>
      <c r="B34" s="1" t="s">
        <v>421</v>
      </c>
      <c r="C34" s="1" t="s">
        <v>422</v>
      </c>
      <c r="E34" s="1" t="s">
        <v>423</v>
      </c>
      <c r="F34" s="1" t="s">
        <v>424</v>
      </c>
      <c r="G34" s="1" t="s">
        <v>425</v>
      </c>
      <c r="H34" s="2" t="s">
        <v>426</v>
      </c>
      <c r="I34" s="2" t="s">
        <v>427</v>
      </c>
      <c r="J34" s="2" t="s">
        <v>428</v>
      </c>
      <c r="K34" s="2" t="s">
        <v>429</v>
      </c>
      <c r="L34" s="2" t="s">
        <v>430</v>
      </c>
      <c r="M34" s="3">
        <v>2537141.9700000002</v>
      </c>
      <c r="N34" s="15">
        <v>45342</v>
      </c>
      <c r="O34" s="1">
        <v>5</v>
      </c>
      <c r="P34" s="1" t="s">
        <v>431</v>
      </c>
      <c r="Q34" s="1" t="s">
        <v>35</v>
      </c>
      <c r="R34" s="1" t="s">
        <v>432</v>
      </c>
      <c r="S34" s="1" t="s">
        <v>433</v>
      </c>
      <c r="U34" s="1" t="s">
        <v>434</v>
      </c>
      <c r="W34" s="1" t="s">
        <v>39</v>
      </c>
    </row>
    <row r="35" spans="1:23" ht="24.95" customHeight="1" x14ac:dyDescent="0.25">
      <c r="A35" s="9">
        <f>SUBTOTAL(103,$F$1:F35)-1</f>
        <v>34</v>
      </c>
      <c r="B35" s="1" t="s">
        <v>435</v>
      </c>
      <c r="C35" s="1" t="s">
        <v>436</v>
      </c>
      <c r="E35" s="1" t="s">
        <v>437</v>
      </c>
      <c r="F35" s="1" t="s">
        <v>438</v>
      </c>
      <c r="G35" s="1" t="s">
        <v>439</v>
      </c>
      <c r="H35" s="2" t="s">
        <v>440</v>
      </c>
      <c r="I35" s="2" t="s">
        <v>441</v>
      </c>
      <c r="J35" s="2" t="s">
        <v>442</v>
      </c>
      <c r="K35" s="2" t="s">
        <v>443</v>
      </c>
      <c r="L35" s="2" t="s">
        <v>444</v>
      </c>
      <c r="M35" s="3">
        <v>1169834.1200000001</v>
      </c>
      <c r="N35" s="15">
        <v>45342</v>
      </c>
      <c r="O35" s="1">
        <v>333</v>
      </c>
      <c r="P35" s="1" t="s">
        <v>445</v>
      </c>
      <c r="Q35" s="1" t="s">
        <v>35</v>
      </c>
      <c r="R35" s="1" t="s">
        <v>224</v>
      </c>
      <c r="S35" s="1" t="s">
        <v>446</v>
      </c>
      <c r="U35" s="1" t="s">
        <v>447</v>
      </c>
      <c r="W35" s="1" t="s">
        <v>39</v>
      </c>
    </row>
    <row r="36" spans="1:23" ht="24.95" customHeight="1" x14ac:dyDescent="0.25">
      <c r="A36" s="9">
        <f>SUBTOTAL(103,$F$1:F36)-1</f>
        <v>35</v>
      </c>
      <c r="C36" s="1" t="s">
        <v>448</v>
      </c>
      <c r="E36" s="1" t="s">
        <v>449</v>
      </c>
      <c r="F36" s="1" t="s">
        <v>450</v>
      </c>
      <c r="G36" s="1" t="s">
        <v>451</v>
      </c>
      <c r="H36" s="2" t="s">
        <v>452</v>
      </c>
      <c r="I36" s="2" t="s">
        <v>453</v>
      </c>
      <c r="J36" s="2" t="s">
        <v>454</v>
      </c>
      <c r="K36" s="2" t="s">
        <v>455</v>
      </c>
      <c r="L36" s="2" t="s">
        <v>456</v>
      </c>
      <c r="M36" s="3">
        <v>4099713.42</v>
      </c>
      <c r="N36" s="15">
        <v>45342</v>
      </c>
      <c r="O36" s="1">
        <v>11</v>
      </c>
      <c r="P36" s="1" t="s">
        <v>457</v>
      </c>
      <c r="Q36" s="1" t="s">
        <v>35</v>
      </c>
      <c r="R36" s="1" t="s">
        <v>224</v>
      </c>
      <c r="S36" s="1" t="s">
        <v>458</v>
      </c>
      <c r="U36" s="1" t="s">
        <v>459</v>
      </c>
      <c r="W36" s="1" t="s">
        <v>39</v>
      </c>
    </row>
    <row r="37" spans="1:23" ht="24.95" customHeight="1" x14ac:dyDescent="0.25">
      <c r="A37" s="9">
        <f>SUBTOTAL(103,$F$1:F37)-1</f>
        <v>36</v>
      </c>
      <c r="B37" s="1" t="s">
        <v>460</v>
      </c>
      <c r="C37" s="1" t="s">
        <v>461</v>
      </c>
      <c r="E37" s="1" t="s">
        <v>462</v>
      </c>
      <c r="F37" s="1" t="s">
        <v>463</v>
      </c>
      <c r="G37" s="1" t="s">
        <v>167</v>
      </c>
      <c r="H37" s="2" t="s">
        <v>168</v>
      </c>
      <c r="I37" s="2" t="s">
        <v>464</v>
      </c>
      <c r="J37" s="2" t="s">
        <v>465</v>
      </c>
      <c r="K37" s="2" t="s">
        <v>466</v>
      </c>
      <c r="L37" s="2" t="s">
        <v>467</v>
      </c>
      <c r="M37" s="3">
        <v>516806.26</v>
      </c>
      <c r="N37" s="15">
        <v>45342</v>
      </c>
      <c r="O37" s="1">
        <v>1236</v>
      </c>
      <c r="P37" s="1" t="s">
        <v>468</v>
      </c>
      <c r="Q37" s="1" t="s">
        <v>35</v>
      </c>
      <c r="R37" s="1" t="s">
        <v>302</v>
      </c>
      <c r="S37" s="1" t="s">
        <v>175</v>
      </c>
      <c r="U37" s="1" t="s">
        <v>469</v>
      </c>
      <c r="W37" s="1" t="s">
        <v>39</v>
      </c>
    </row>
    <row r="38" spans="1:23" ht="24.95" customHeight="1" x14ac:dyDescent="0.25">
      <c r="A38" s="9">
        <f>SUBTOTAL(103,$F$1:F38)-1</f>
        <v>37</v>
      </c>
      <c r="B38" s="1" t="s">
        <v>54</v>
      </c>
      <c r="C38" s="1" t="s">
        <v>55</v>
      </c>
      <c r="D38" s="1" t="s">
        <v>56</v>
      </c>
      <c r="E38" s="1" t="s">
        <v>470</v>
      </c>
      <c r="F38" s="1" t="s">
        <v>471</v>
      </c>
      <c r="G38" s="1" t="s">
        <v>472</v>
      </c>
      <c r="H38" s="2" t="s">
        <v>473</v>
      </c>
      <c r="I38" s="2" t="s">
        <v>61</v>
      </c>
      <c r="J38" s="2" t="s">
        <v>62</v>
      </c>
      <c r="K38" s="2" t="s">
        <v>63</v>
      </c>
      <c r="L38" s="2" t="s">
        <v>64</v>
      </c>
      <c r="M38" s="3">
        <v>619878.84</v>
      </c>
      <c r="N38" s="15">
        <v>45342</v>
      </c>
      <c r="O38" s="1">
        <v>220414</v>
      </c>
      <c r="P38" s="1" t="s">
        <v>65</v>
      </c>
      <c r="Q38" s="1" t="s">
        <v>35</v>
      </c>
      <c r="R38" s="1" t="s">
        <v>66</v>
      </c>
      <c r="S38" s="1" t="s">
        <v>474</v>
      </c>
      <c r="U38" s="1" t="s">
        <v>68</v>
      </c>
      <c r="W38" s="1" t="s">
        <v>39</v>
      </c>
    </row>
    <row r="39" spans="1:23" ht="24.95" customHeight="1" x14ac:dyDescent="0.25">
      <c r="A39" s="9">
        <f>SUBTOTAL(103,$F$1:F39)-1</f>
        <v>38</v>
      </c>
      <c r="B39" s="1" t="s">
        <v>475</v>
      </c>
      <c r="C39" s="1" t="s">
        <v>476</v>
      </c>
      <c r="E39" s="1" t="s">
        <v>477</v>
      </c>
      <c r="F39" s="1" t="s">
        <v>478</v>
      </c>
      <c r="G39" s="1" t="s">
        <v>479</v>
      </c>
      <c r="H39" s="2" t="s">
        <v>480</v>
      </c>
      <c r="I39" s="2" t="s">
        <v>481</v>
      </c>
      <c r="J39" s="2" t="s">
        <v>482</v>
      </c>
      <c r="K39" s="2" t="s">
        <v>483</v>
      </c>
      <c r="L39" s="2" t="s">
        <v>484</v>
      </c>
      <c r="M39" s="3">
        <v>7142160</v>
      </c>
      <c r="N39" s="15">
        <v>45342</v>
      </c>
      <c r="O39" s="1">
        <v>40</v>
      </c>
      <c r="P39" s="1" t="s">
        <v>485</v>
      </c>
      <c r="Q39" s="1" t="s">
        <v>35</v>
      </c>
      <c r="R39" s="1" t="s">
        <v>224</v>
      </c>
      <c r="S39" s="1" t="s">
        <v>486</v>
      </c>
      <c r="U39" s="1" t="s">
        <v>487</v>
      </c>
      <c r="W39" s="1" t="s">
        <v>39</v>
      </c>
    </row>
    <row r="40" spans="1:23" ht="24.95" customHeight="1" x14ac:dyDescent="0.25">
      <c r="A40" s="9">
        <f>SUBTOTAL(103,$F$1:F40)-1</f>
        <v>39</v>
      </c>
      <c r="B40" s="1" t="s">
        <v>488</v>
      </c>
      <c r="C40" s="1" t="s">
        <v>489</v>
      </c>
      <c r="E40" s="1" t="s">
        <v>490</v>
      </c>
      <c r="F40" s="1" t="s">
        <v>491</v>
      </c>
      <c r="G40" s="1" t="s">
        <v>492</v>
      </c>
      <c r="H40" s="2" t="s">
        <v>493</v>
      </c>
      <c r="I40" s="2" t="s">
        <v>494</v>
      </c>
      <c r="J40" s="2" t="s">
        <v>495</v>
      </c>
      <c r="K40" s="2" t="s">
        <v>496</v>
      </c>
      <c r="L40" s="2" t="s">
        <v>497</v>
      </c>
      <c r="M40" s="3">
        <v>754139.65</v>
      </c>
      <c r="N40" s="15">
        <v>45342</v>
      </c>
      <c r="O40" s="1">
        <v>42</v>
      </c>
      <c r="P40" s="1" t="s">
        <v>498</v>
      </c>
      <c r="Q40" s="1" t="s">
        <v>35</v>
      </c>
      <c r="R40" s="1" t="s">
        <v>499</v>
      </c>
      <c r="S40" s="1" t="s">
        <v>500</v>
      </c>
      <c r="U40" s="1" t="s">
        <v>501</v>
      </c>
      <c r="W40" s="1" t="s">
        <v>39</v>
      </c>
    </row>
    <row r="41" spans="1:23" ht="24.95" customHeight="1" x14ac:dyDescent="0.25">
      <c r="A41" s="9">
        <f>SUBTOTAL(103,$F$1:F41)-1</f>
        <v>40</v>
      </c>
      <c r="E41" s="1" t="s">
        <v>502</v>
      </c>
      <c r="F41" s="1" t="s">
        <v>503</v>
      </c>
      <c r="H41" s="2" t="s">
        <v>347</v>
      </c>
      <c r="I41" s="2" t="s">
        <v>504</v>
      </c>
      <c r="J41" s="2" t="s">
        <v>505</v>
      </c>
      <c r="K41" s="2" t="s">
        <v>506</v>
      </c>
      <c r="L41" s="2" t="s">
        <v>507</v>
      </c>
      <c r="M41" s="3">
        <v>2136000</v>
      </c>
      <c r="N41" s="15">
        <v>45342</v>
      </c>
      <c r="O41" s="1">
        <v>6</v>
      </c>
      <c r="P41" s="1" t="s">
        <v>508</v>
      </c>
      <c r="Q41" s="1" t="s">
        <v>35</v>
      </c>
      <c r="R41" s="1" t="s">
        <v>130</v>
      </c>
      <c r="S41" s="1" t="s">
        <v>509</v>
      </c>
      <c r="U41" s="1" t="s">
        <v>510</v>
      </c>
      <c r="W41" s="1" t="s">
        <v>39</v>
      </c>
    </row>
    <row r="42" spans="1:23" ht="24.95" customHeight="1" x14ac:dyDescent="0.25">
      <c r="A42" s="9">
        <f>SUBTOTAL(103,$F$1:F42)-1</f>
        <v>41</v>
      </c>
      <c r="B42" s="1" t="s">
        <v>54</v>
      </c>
      <c r="C42" s="1" t="s">
        <v>55</v>
      </c>
      <c r="D42" s="1" t="s">
        <v>56</v>
      </c>
      <c r="E42" s="1" t="s">
        <v>511</v>
      </c>
      <c r="F42" s="1" t="s">
        <v>512</v>
      </c>
      <c r="G42" s="1" t="s">
        <v>513</v>
      </c>
      <c r="H42" s="2" t="s">
        <v>514</v>
      </c>
      <c r="I42" s="2" t="s">
        <v>61</v>
      </c>
      <c r="J42" s="2" t="s">
        <v>62</v>
      </c>
      <c r="K42" s="2" t="s">
        <v>63</v>
      </c>
      <c r="L42" s="2" t="s">
        <v>64</v>
      </c>
      <c r="M42" s="3">
        <v>3083200</v>
      </c>
      <c r="N42" s="15">
        <v>45342</v>
      </c>
      <c r="O42" s="1">
        <v>220414</v>
      </c>
      <c r="P42" s="1" t="s">
        <v>65</v>
      </c>
      <c r="Q42" s="1" t="s">
        <v>35</v>
      </c>
      <c r="R42" s="1" t="s">
        <v>66</v>
      </c>
      <c r="S42" s="1" t="s">
        <v>515</v>
      </c>
      <c r="U42" s="1" t="s">
        <v>68</v>
      </c>
      <c r="W42" s="1" t="s">
        <v>39</v>
      </c>
    </row>
    <row r="43" spans="1:23" ht="24.95" customHeight="1" x14ac:dyDescent="0.25">
      <c r="A43" s="9">
        <f>SUBTOTAL(103,$F$1:F43)-1</f>
        <v>42</v>
      </c>
      <c r="E43" s="1" t="s">
        <v>516</v>
      </c>
      <c r="F43" s="1" t="s">
        <v>517</v>
      </c>
      <c r="G43" s="1" t="s">
        <v>518</v>
      </c>
      <c r="H43" s="2" t="s">
        <v>519</v>
      </c>
      <c r="I43" s="2" t="s">
        <v>520</v>
      </c>
      <c r="J43" s="2" t="s">
        <v>521</v>
      </c>
      <c r="K43" s="2" t="s">
        <v>522</v>
      </c>
      <c r="L43" s="2" t="s">
        <v>521</v>
      </c>
      <c r="M43" s="3">
        <v>35229665.420000002</v>
      </c>
      <c r="N43" s="15">
        <v>45342</v>
      </c>
      <c r="O43" s="1">
        <v>2</v>
      </c>
      <c r="P43" s="1" t="s">
        <v>523</v>
      </c>
      <c r="Q43" s="1" t="s">
        <v>35</v>
      </c>
      <c r="R43" s="1" t="s">
        <v>524</v>
      </c>
      <c r="S43" s="1" t="s">
        <v>525</v>
      </c>
      <c r="U43" s="1" t="s">
        <v>520</v>
      </c>
      <c r="W43" s="1" t="s">
        <v>39</v>
      </c>
    </row>
    <row r="44" spans="1:23" ht="24.95" customHeight="1" x14ac:dyDescent="0.25">
      <c r="A44" s="9">
        <f>SUBTOTAL(103,$F$1:F44)-1</f>
        <v>43</v>
      </c>
      <c r="B44" s="1" t="s">
        <v>526</v>
      </c>
      <c r="C44" s="1" t="s">
        <v>527</v>
      </c>
      <c r="D44" s="1" t="s">
        <v>528</v>
      </c>
      <c r="E44" s="1" t="s">
        <v>529</v>
      </c>
      <c r="F44" s="1" t="s">
        <v>530</v>
      </c>
      <c r="G44" s="1" t="s">
        <v>531</v>
      </c>
      <c r="H44" s="2" t="s">
        <v>532</v>
      </c>
      <c r="I44" s="2" t="s">
        <v>533</v>
      </c>
      <c r="J44" s="2" t="s">
        <v>534</v>
      </c>
      <c r="K44" s="2" t="s">
        <v>535</v>
      </c>
      <c r="L44" s="2" t="s">
        <v>536</v>
      </c>
      <c r="M44" s="3">
        <v>142571450</v>
      </c>
      <c r="N44" s="15">
        <v>45342</v>
      </c>
      <c r="O44" s="1">
        <v>34770</v>
      </c>
      <c r="P44" s="1" t="s">
        <v>537</v>
      </c>
      <c r="Q44" s="1" t="s">
        <v>35</v>
      </c>
      <c r="R44" s="1" t="s">
        <v>538</v>
      </c>
      <c r="S44" s="1" t="s">
        <v>539</v>
      </c>
      <c r="U44" s="1" t="s">
        <v>540</v>
      </c>
      <c r="W44" s="1" t="s">
        <v>39</v>
      </c>
    </row>
    <row r="45" spans="1:23" ht="24.95" customHeight="1" x14ac:dyDescent="0.25">
      <c r="A45" s="9">
        <f>SUBTOTAL(103,$F$1:F45)-1</f>
        <v>44</v>
      </c>
      <c r="B45" s="1" t="s">
        <v>541</v>
      </c>
      <c r="C45" s="1" t="s">
        <v>542</v>
      </c>
      <c r="E45" s="1" t="s">
        <v>543</v>
      </c>
      <c r="F45" s="1" t="s">
        <v>544</v>
      </c>
      <c r="G45" s="1" t="s">
        <v>545</v>
      </c>
      <c r="H45" s="2" t="s">
        <v>546</v>
      </c>
      <c r="I45" s="2" t="s">
        <v>547</v>
      </c>
      <c r="J45" s="2" t="s">
        <v>548</v>
      </c>
      <c r="K45" s="2" t="s">
        <v>549</v>
      </c>
      <c r="L45" s="2" t="s">
        <v>550</v>
      </c>
      <c r="M45" s="3">
        <v>974431.73</v>
      </c>
      <c r="N45" s="15">
        <v>45342</v>
      </c>
      <c r="O45" s="1">
        <v>9</v>
      </c>
      <c r="P45" s="1" t="s">
        <v>551</v>
      </c>
      <c r="Q45" s="1" t="s">
        <v>35</v>
      </c>
      <c r="R45" s="1" t="s">
        <v>552</v>
      </c>
      <c r="S45" s="1" t="s">
        <v>553</v>
      </c>
      <c r="U45" s="1" t="s">
        <v>554</v>
      </c>
      <c r="W45" s="1" t="s">
        <v>39</v>
      </c>
    </row>
    <row r="46" spans="1:23" ht="24.95" customHeight="1" x14ac:dyDescent="0.25">
      <c r="A46" s="9">
        <f>SUBTOTAL(103,$F$1:F46)-1</f>
        <v>45</v>
      </c>
      <c r="B46" s="1" t="s">
        <v>555</v>
      </c>
      <c r="C46" s="1" t="s">
        <v>556</v>
      </c>
      <c r="E46" s="1" t="s">
        <v>557</v>
      </c>
      <c r="F46" s="1" t="s">
        <v>558</v>
      </c>
      <c r="G46" s="1" t="s">
        <v>559</v>
      </c>
      <c r="H46" s="2" t="s">
        <v>560</v>
      </c>
      <c r="I46" s="2" t="s">
        <v>561</v>
      </c>
      <c r="J46" s="2" t="s">
        <v>562</v>
      </c>
      <c r="K46" s="2" t="s">
        <v>563</v>
      </c>
      <c r="L46" s="2" t="s">
        <v>564</v>
      </c>
      <c r="M46" s="3">
        <v>543000</v>
      </c>
      <c r="N46" s="15">
        <v>45342</v>
      </c>
      <c r="O46" s="1">
        <v>7</v>
      </c>
      <c r="P46" s="1" t="s">
        <v>565</v>
      </c>
      <c r="Q46" s="1" t="s">
        <v>35</v>
      </c>
      <c r="R46" s="1" t="s">
        <v>566</v>
      </c>
      <c r="S46" s="1" t="s">
        <v>567</v>
      </c>
      <c r="U46" s="1" t="s">
        <v>568</v>
      </c>
      <c r="W46" s="1" t="s">
        <v>39</v>
      </c>
    </row>
    <row r="47" spans="1:23" ht="24.95" customHeight="1" x14ac:dyDescent="0.25">
      <c r="A47" s="9">
        <f>SUBTOTAL(103,$F$1:F47)-1</f>
        <v>46</v>
      </c>
      <c r="C47" s="1" t="s">
        <v>569</v>
      </c>
      <c r="D47" s="1" t="s">
        <v>570</v>
      </c>
      <c r="E47" s="1" t="s">
        <v>571</v>
      </c>
      <c r="F47" s="1" t="s">
        <v>572</v>
      </c>
      <c r="G47" s="1" t="s">
        <v>573</v>
      </c>
      <c r="H47" s="2" t="s">
        <v>574</v>
      </c>
      <c r="I47" s="2" t="s">
        <v>575</v>
      </c>
      <c r="J47" s="2" t="s">
        <v>576</v>
      </c>
      <c r="K47" s="2" t="s">
        <v>577</v>
      </c>
      <c r="L47" s="2" t="s">
        <v>578</v>
      </c>
      <c r="M47" s="3">
        <v>635879.19999999995</v>
      </c>
      <c r="N47" s="15">
        <v>45342</v>
      </c>
      <c r="O47" s="1">
        <v>15</v>
      </c>
      <c r="P47" s="1" t="s">
        <v>579</v>
      </c>
      <c r="Q47" s="1" t="s">
        <v>35</v>
      </c>
      <c r="R47" s="1" t="s">
        <v>580</v>
      </c>
      <c r="S47" s="1" t="s">
        <v>573</v>
      </c>
      <c r="U47" s="1" t="s">
        <v>581</v>
      </c>
      <c r="W47" s="1" t="s">
        <v>392</v>
      </c>
    </row>
    <row r="48" spans="1:23" ht="24.95" customHeight="1" x14ac:dyDescent="0.25">
      <c r="A48" s="9">
        <f>SUBTOTAL(103,$F$1:F48)-1</f>
        <v>47</v>
      </c>
      <c r="E48" s="1" t="s">
        <v>582</v>
      </c>
      <c r="F48" s="1" t="s">
        <v>583</v>
      </c>
      <c r="G48" s="1" t="s">
        <v>584</v>
      </c>
      <c r="H48" s="2" t="s">
        <v>585</v>
      </c>
      <c r="J48" s="2" t="s">
        <v>347</v>
      </c>
      <c r="M48" s="3">
        <v>747517183.63</v>
      </c>
      <c r="N48" s="15">
        <v>45342</v>
      </c>
      <c r="P48" s="1" t="s">
        <v>586</v>
      </c>
      <c r="Q48" s="1" t="s">
        <v>35</v>
      </c>
      <c r="S48" s="1" t="s">
        <v>587</v>
      </c>
      <c r="U48" s="1" t="s">
        <v>588</v>
      </c>
      <c r="W48" s="1" t="s">
        <v>39</v>
      </c>
    </row>
    <row r="49" spans="1:23" ht="24.95" customHeight="1" x14ac:dyDescent="0.25">
      <c r="A49" s="9">
        <f>SUBTOTAL(103,$F$1:F49)-1</f>
        <v>48</v>
      </c>
      <c r="C49" s="1" t="s">
        <v>589</v>
      </c>
      <c r="D49" s="1" t="s">
        <v>590</v>
      </c>
      <c r="E49" s="1" t="s">
        <v>591</v>
      </c>
      <c r="F49" s="1" t="s">
        <v>592</v>
      </c>
      <c r="G49" s="1" t="s">
        <v>193</v>
      </c>
      <c r="H49" s="2" t="s">
        <v>194</v>
      </c>
      <c r="I49" s="2" t="s">
        <v>593</v>
      </c>
      <c r="J49" s="2" t="s">
        <v>594</v>
      </c>
      <c r="K49" s="2" t="s">
        <v>595</v>
      </c>
      <c r="L49" s="2" t="s">
        <v>596</v>
      </c>
      <c r="M49" s="3">
        <v>693847.38</v>
      </c>
      <c r="N49" s="15">
        <v>45342</v>
      </c>
      <c r="O49" s="1">
        <v>6</v>
      </c>
      <c r="P49" s="1" t="s">
        <v>597</v>
      </c>
      <c r="Q49" s="1" t="s">
        <v>35</v>
      </c>
      <c r="R49" s="1" t="s">
        <v>552</v>
      </c>
      <c r="S49" s="1" t="s">
        <v>201</v>
      </c>
      <c r="U49" s="1" t="s">
        <v>598</v>
      </c>
      <c r="W49" s="1" t="s">
        <v>39</v>
      </c>
    </row>
    <row r="50" spans="1:23" ht="24.95" customHeight="1" x14ac:dyDescent="0.25">
      <c r="A50" s="9">
        <f>SUBTOTAL(103,$F$1:F50)-1</f>
        <v>49</v>
      </c>
      <c r="B50" s="1" t="s">
        <v>599</v>
      </c>
      <c r="C50" s="1" t="s">
        <v>600</v>
      </c>
      <c r="E50" s="1" t="s">
        <v>601</v>
      </c>
      <c r="F50" s="1" t="s">
        <v>602</v>
      </c>
      <c r="G50" s="1" t="s">
        <v>603</v>
      </c>
      <c r="H50" s="2" t="s">
        <v>604</v>
      </c>
      <c r="I50" s="2" t="s">
        <v>605</v>
      </c>
      <c r="J50" s="2" t="s">
        <v>606</v>
      </c>
      <c r="K50" s="2" t="s">
        <v>607</v>
      </c>
      <c r="L50" s="2" t="s">
        <v>608</v>
      </c>
      <c r="M50" s="3">
        <v>1807856.16</v>
      </c>
      <c r="N50" s="15">
        <v>45342</v>
      </c>
      <c r="O50" s="1">
        <v>121</v>
      </c>
      <c r="P50" s="1" t="s">
        <v>609</v>
      </c>
      <c r="Q50" s="1" t="s">
        <v>35</v>
      </c>
      <c r="R50" s="1" t="s">
        <v>302</v>
      </c>
      <c r="S50" s="1" t="s">
        <v>610</v>
      </c>
      <c r="U50" s="1" t="s">
        <v>611</v>
      </c>
      <c r="W50" s="1" t="s">
        <v>39</v>
      </c>
    </row>
    <row r="51" spans="1:23" ht="24.95" customHeight="1" x14ac:dyDescent="0.25">
      <c r="A51" s="9">
        <f>SUBTOTAL(103,$F$1:F51)-1</f>
        <v>50</v>
      </c>
      <c r="B51" s="1" t="s">
        <v>612</v>
      </c>
      <c r="C51" s="1" t="s">
        <v>613</v>
      </c>
      <c r="E51" s="1" t="s">
        <v>614</v>
      </c>
      <c r="F51" s="1" t="s">
        <v>615</v>
      </c>
      <c r="G51" s="1" t="s">
        <v>193</v>
      </c>
      <c r="H51" s="2" t="s">
        <v>194</v>
      </c>
      <c r="I51" s="2" t="s">
        <v>616</v>
      </c>
      <c r="J51" s="2" t="s">
        <v>617</v>
      </c>
      <c r="K51" s="2" t="s">
        <v>197</v>
      </c>
      <c r="L51" s="2" t="s">
        <v>198</v>
      </c>
      <c r="M51" s="3">
        <v>3736263.01</v>
      </c>
      <c r="N51" s="15">
        <v>45342</v>
      </c>
      <c r="O51" s="1">
        <v>29</v>
      </c>
      <c r="P51" s="1" t="s">
        <v>618</v>
      </c>
      <c r="Q51" s="1" t="s">
        <v>35</v>
      </c>
      <c r="R51" s="1" t="s">
        <v>200</v>
      </c>
      <c r="S51" s="1" t="s">
        <v>201</v>
      </c>
      <c r="U51" s="1" t="s">
        <v>619</v>
      </c>
      <c r="W51" s="1" t="s">
        <v>39</v>
      </c>
    </row>
    <row r="52" spans="1:23" ht="24.95" customHeight="1" x14ac:dyDescent="0.25">
      <c r="A52" s="9">
        <f>SUBTOTAL(103,$F$1:F52)-1</f>
        <v>51</v>
      </c>
      <c r="C52" s="1" t="s">
        <v>620</v>
      </c>
      <c r="E52" s="1" t="s">
        <v>621</v>
      </c>
      <c r="F52" s="1" t="s">
        <v>622</v>
      </c>
      <c r="G52" s="1" t="s">
        <v>603</v>
      </c>
      <c r="H52" s="2" t="s">
        <v>604</v>
      </c>
      <c r="I52" s="2" t="s">
        <v>623</v>
      </c>
      <c r="J52" s="2" t="s">
        <v>624</v>
      </c>
      <c r="K52" s="2" t="s">
        <v>625</v>
      </c>
      <c r="L52" s="2" t="s">
        <v>626</v>
      </c>
      <c r="M52" s="3">
        <v>1156875.97</v>
      </c>
      <c r="N52" s="15">
        <v>45342</v>
      </c>
      <c r="O52" s="1">
        <v>6</v>
      </c>
      <c r="P52" s="1" t="s">
        <v>627</v>
      </c>
      <c r="Q52" s="1" t="s">
        <v>35</v>
      </c>
      <c r="R52" s="1" t="s">
        <v>417</v>
      </c>
      <c r="S52" s="1" t="s">
        <v>610</v>
      </c>
      <c r="U52" s="1" t="s">
        <v>628</v>
      </c>
      <c r="W52" s="1" t="s">
        <v>39</v>
      </c>
    </row>
    <row r="53" spans="1:23" ht="24.95" customHeight="1" x14ac:dyDescent="0.25">
      <c r="A53" s="9">
        <f>SUBTOTAL(103,$F$1:F53)-1</f>
        <v>52</v>
      </c>
      <c r="B53" s="1" t="s">
        <v>629</v>
      </c>
      <c r="C53" s="1" t="s">
        <v>630</v>
      </c>
      <c r="E53" s="1" t="s">
        <v>631</v>
      </c>
      <c r="F53" s="1" t="s">
        <v>632</v>
      </c>
      <c r="G53" s="1" t="s">
        <v>633</v>
      </c>
      <c r="H53" s="2" t="s">
        <v>634</v>
      </c>
      <c r="I53" s="2" t="s">
        <v>635</v>
      </c>
      <c r="J53" s="2" t="s">
        <v>636</v>
      </c>
      <c r="K53" s="2" t="s">
        <v>637</v>
      </c>
      <c r="L53" s="2" t="s">
        <v>638</v>
      </c>
      <c r="M53" s="3">
        <v>11572328.699999999</v>
      </c>
      <c r="N53" s="15">
        <v>45342</v>
      </c>
      <c r="O53" s="1">
        <v>351</v>
      </c>
      <c r="P53" s="1" t="s">
        <v>639</v>
      </c>
      <c r="Q53" s="1" t="s">
        <v>35</v>
      </c>
      <c r="R53" s="1" t="s">
        <v>640</v>
      </c>
      <c r="S53" s="1" t="s">
        <v>641</v>
      </c>
      <c r="U53" s="1" t="s">
        <v>642</v>
      </c>
      <c r="W53" s="1" t="s">
        <v>39</v>
      </c>
    </row>
    <row r="54" spans="1:23" ht="24.95" customHeight="1" x14ac:dyDescent="0.25">
      <c r="A54" s="9">
        <f>SUBTOTAL(103,$F$1:F54)-1</f>
        <v>53</v>
      </c>
      <c r="E54" s="1" t="s">
        <v>643</v>
      </c>
      <c r="F54" s="1" t="s">
        <v>644</v>
      </c>
      <c r="G54" s="1" t="s">
        <v>645</v>
      </c>
      <c r="H54" s="2" t="s">
        <v>646</v>
      </c>
      <c r="I54" s="2" t="s">
        <v>647</v>
      </c>
      <c r="J54" s="2" t="s">
        <v>648</v>
      </c>
      <c r="K54" s="2" t="s">
        <v>649</v>
      </c>
      <c r="M54" s="3">
        <v>1087141.07</v>
      </c>
      <c r="N54" s="15">
        <v>45343</v>
      </c>
      <c r="O54" s="1">
        <v>1</v>
      </c>
      <c r="P54" s="1" t="s">
        <v>650</v>
      </c>
      <c r="Q54" s="1" t="s">
        <v>35</v>
      </c>
      <c r="R54" s="1" t="s">
        <v>651</v>
      </c>
      <c r="S54" s="1" t="s">
        <v>652</v>
      </c>
      <c r="U54" s="1" t="s">
        <v>653</v>
      </c>
      <c r="W54" s="1" t="s">
        <v>392</v>
      </c>
    </row>
    <row r="55" spans="1:23" ht="24.95" customHeight="1" x14ac:dyDescent="0.25">
      <c r="A55" s="9">
        <f>SUBTOTAL(103,$F$1:F55)-1</f>
        <v>54</v>
      </c>
      <c r="B55" s="1" t="s">
        <v>654</v>
      </c>
      <c r="E55" s="1" t="s">
        <v>655</v>
      </c>
      <c r="F55" s="1" t="s">
        <v>656</v>
      </c>
      <c r="G55" s="1" t="s">
        <v>657</v>
      </c>
      <c r="H55" s="2" t="s">
        <v>658</v>
      </c>
      <c r="I55" s="2" t="s">
        <v>659</v>
      </c>
      <c r="J55" s="2" t="s">
        <v>660</v>
      </c>
      <c r="K55" s="2" t="s">
        <v>661</v>
      </c>
      <c r="L55" s="2" t="s">
        <v>662</v>
      </c>
      <c r="M55" s="3">
        <v>925813.08</v>
      </c>
      <c r="N55" s="15">
        <v>45343</v>
      </c>
      <c r="O55" s="1">
        <v>7</v>
      </c>
      <c r="P55" s="1" t="s">
        <v>663</v>
      </c>
      <c r="Q55" s="1" t="s">
        <v>35</v>
      </c>
      <c r="R55" s="1" t="s">
        <v>224</v>
      </c>
      <c r="S55" s="1" t="s">
        <v>664</v>
      </c>
      <c r="U55" s="1" t="s">
        <v>665</v>
      </c>
      <c r="W55" s="1" t="s">
        <v>39</v>
      </c>
    </row>
    <row r="56" spans="1:23" ht="24.95" customHeight="1" x14ac:dyDescent="0.25">
      <c r="A56" s="9">
        <f>SUBTOTAL(103,$F$1:F56)-1</f>
        <v>55</v>
      </c>
      <c r="B56" s="1" t="s">
        <v>666</v>
      </c>
      <c r="C56" s="1" t="s">
        <v>667</v>
      </c>
      <c r="E56" s="1" t="s">
        <v>668</v>
      </c>
      <c r="F56" s="1" t="s">
        <v>669</v>
      </c>
      <c r="G56" s="1" t="s">
        <v>670</v>
      </c>
      <c r="H56" s="2" t="s">
        <v>671</v>
      </c>
      <c r="I56" s="2" t="s">
        <v>672</v>
      </c>
      <c r="J56" s="2" t="s">
        <v>673</v>
      </c>
      <c r="K56" s="2" t="s">
        <v>674</v>
      </c>
      <c r="L56" s="2" t="s">
        <v>675</v>
      </c>
      <c r="M56" s="3">
        <v>657603</v>
      </c>
      <c r="N56" s="15">
        <v>45343</v>
      </c>
      <c r="O56" s="1">
        <v>10</v>
      </c>
      <c r="P56" s="1" t="s">
        <v>676</v>
      </c>
      <c r="Q56" s="1" t="s">
        <v>35</v>
      </c>
      <c r="R56" s="1" t="s">
        <v>677</v>
      </c>
      <c r="S56" s="1" t="s">
        <v>678</v>
      </c>
      <c r="U56" s="1" t="s">
        <v>679</v>
      </c>
      <c r="W56" s="1" t="s">
        <v>39</v>
      </c>
    </row>
    <row r="57" spans="1:23" ht="24.95" customHeight="1" x14ac:dyDescent="0.25">
      <c r="A57" s="9">
        <f>SUBTOTAL(103,$F$1:F57)-1</f>
        <v>56</v>
      </c>
      <c r="C57" s="1" t="s">
        <v>680</v>
      </c>
      <c r="E57" s="1" t="s">
        <v>681</v>
      </c>
      <c r="F57" s="1" t="s">
        <v>682</v>
      </c>
      <c r="G57" s="1" t="s">
        <v>683</v>
      </c>
      <c r="H57" s="2" t="s">
        <v>684</v>
      </c>
      <c r="I57" s="2" t="s">
        <v>685</v>
      </c>
      <c r="J57" s="2" t="s">
        <v>686</v>
      </c>
      <c r="K57" s="2" t="s">
        <v>687</v>
      </c>
      <c r="L57" s="2" t="s">
        <v>688</v>
      </c>
      <c r="M57" s="3">
        <v>2756391.25</v>
      </c>
      <c r="N57" s="15">
        <v>45343</v>
      </c>
      <c r="O57" s="1">
        <v>157</v>
      </c>
      <c r="P57" s="1" t="s">
        <v>689</v>
      </c>
      <c r="Q57" s="1" t="s">
        <v>35</v>
      </c>
      <c r="R57" s="1" t="s">
        <v>690</v>
      </c>
      <c r="S57" s="1" t="s">
        <v>691</v>
      </c>
      <c r="U57" s="1" t="s">
        <v>692</v>
      </c>
      <c r="W57" s="1" t="s">
        <v>39</v>
      </c>
    </row>
    <row r="58" spans="1:23" ht="24.95" customHeight="1" x14ac:dyDescent="0.25">
      <c r="A58" s="9">
        <f>SUBTOTAL(103,$F$1:F58)-1</f>
        <v>57</v>
      </c>
      <c r="B58" s="1" t="s">
        <v>693</v>
      </c>
      <c r="C58" s="1" t="s">
        <v>694</v>
      </c>
      <c r="D58" s="1" t="s">
        <v>695</v>
      </c>
      <c r="E58" s="1" t="s">
        <v>696</v>
      </c>
      <c r="F58" s="1" t="s">
        <v>697</v>
      </c>
      <c r="G58" s="1" t="s">
        <v>698</v>
      </c>
      <c r="H58" s="2" t="s">
        <v>699</v>
      </c>
      <c r="I58" s="2" t="s">
        <v>700</v>
      </c>
      <c r="J58" s="2" t="s">
        <v>701</v>
      </c>
      <c r="K58" s="2" t="s">
        <v>702</v>
      </c>
      <c r="L58" s="2" t="s">
        <v>703</v>
      </c>
      <c r="M58" s="3">
        <v>1977846.85</v>
      </c>
      <c r="N58" s="15">
        <v>45343</v>
      </c>
      <c r="O58" s="1">
        <v>64</v>
      </c>
      <c r="P58" s="1" t="s">
        <v>704</v>
      </c>
      <c r="Q58" s="1" t="s">
        <v>35</v>
      </c>
      <c r="R58" s="1" t="s">
        <v>705</v>
      </c>
      <c r="S58" s="1" t="s">
        <v>706</v>
      </c>
      <c r="U58" s="1" t="s">
        <v>707</v>
      </c>
      <c r="W58" s="1" t="s">
        <v>39</v>
      </c>
    </row>
    <row r="59" spans="1:23" ht="24.95" customHeight="1" x14ac:dyDescent="0.25">
      <c r="A59" s="9">
        <f>SUBTOTAL(103,$F$1:F59)-1</f>
        <v>58</v>
      </c>
      <c r="B59" s="1" t="s">
        <v>708</v>
      </c>
      <c r="C59" s="1" t="s">
        <v>709</v>
      </c>
      <c r="E59" s="1" t="s">
        <v>710</v>
      </c>
      <c r="F59" s="1" t="s">
        <v>711</v>
      </c>
      <c r="G59" s="1" t="s">
        <v>96</v>
      </c>
      <c r="H59" s="2" t="s">
        <v>97</v>
      </c>
      <c r="I59" s="2" t="s">
        <v>712</v>
      </c>
      <c r="J59" s="2" t="s">
        <v>713</v>
      </c>
      <c r="K59" s="2" t="s">
        <v>714</v>
      </c>
      <c r="L59" s="2" t="s">
        <v>715</v>
      </c>
      <c r="M59" s="3">
        <v>3763175.71</v>
      </c>
      <c r="N59" s="15">
        <v>45343</v>
      </c>
      <c r="O59" s="1">
        <v>9</v>
      </c>
      <c r="P59" s="1" t="s">
        <v>716</v>
      </c>
      <c r="Q59" s="1" t="s">
        <v>35</v>
      </c>
      <c r="R59" s="1" t="s">
        <v>717</v>
      </c>
      <c r="S59" s="1" t="s">
        <v>104</v>
      </c>
      <c r="U59" s="1" t="s">
        <v>718</v>
      </c>
      <c r="W59" s="1" t="s">
        <v>39</v>
      </c>
    </row>
    <row r="60" spans="1:23" ht="24.95" customHeight="1" x14ac:dyDescent="0.25">
      <c r="A60" s="9">
        <f>SUBTOTAL(103,$F$1:F60)-1</f>
        <v>59</v>
      </c>
      <c r="E60" s="1" t="s">
        <v>719</v>
      </c>
      <c r="F60" s="1" t="s">
        <v>720</v>
      </c>
      <c r="G60" s="1" t="s">
        <v>721</v>
      </c>
      <c r="H60" s="2" t="s">
        <v>722</v>
      </c>
      <c r="I60" s="2" t="s">
        <v>723</v>
      </c>
      <c r="J60" s="2" t="s">
        <v>724</v>
      </c>
      <c r="K60" s="2" t="s">
        <v>725</v>
      </c>
      <c r="L60" s="2" t="s">
        <v>726</v>
      </c>
      <c r="M60" s="3">
        <v>2105308.7400000002</v>
      </c>
      <c r="N60" s="15">
        <v>45343</v>
      </c>
      <c r="O60" s="1">
        <v>13</v>
      </c>
      <c r="P60" s="1" t="s">
        <v>727</v>
      </c>
      <c r="Q60" s="1" t="s">
        <v>35</v>
      </c>
      <c r="R60" s="1" t="s">
        <v>728</v>
      </c>
      <c r="S60" s="1" t="s">
        <v>729</v>
      </c>
      <c r="U60" s="1" t="s">
        <v>730</v>
      </c>
      <c r="W60" s="1" t="s">
        <v>39</v>
      </c>
    </row>
    <row r="61" spans="1:23" ht="24.95" customHeight="1" x14ac:dyDescent="0.25">
      <c r="A61" s="9">
        <f>SUBTOTAL(103,$F$1:F61)-1</f>
        <v>60</v>
      </c>
      <c r="B61" s="1" t="s">
        <v>731</v>
      </c>
      <c r="C61" s="1" t="s">
        <v>732</v>
      </c>
      <c r="E61" s="1" t="s">
        <v>733</v>
      </c>
      <c r="F61" s="1" t="s">
        <v>734</v>
      </c>
      <c r="G61" s="1" t="s">
        <v>735</v>
      </c>
      <c r="H61" s="2" t="s">
        <v>736</v>
      </c>
      <c r="I61" s="2" t="s">
        <v>285</v>
      </c>
      <c r="J61" s="2" t="s">
        <v>286</v>
      </c>
      <c r="K61" s="2" t="s">
        <v>737</v>
      </c>
      <c r="L61" s="2" t="s">
        <v>738</v>
      </c>
      <c r="M61" s="3">
        <v>11599204.52</v>
      </c>
      <c r="N61" s="15">
        <v>45343</v>
      </c>
      <c r="O61" s="1">
        <v>5670</v>
      </c>
      <c r="P61" s="1" t="s">
        <v>739</v>
      </c>
      <c r="Q61" s="1" t="s">
        <v>35</v>
      </c>
      <c r="R61" s="1" t="s">
        <v>302</v>
      </c>
      <c r="S61" s="1" t="s">
        <v>740</v>
      </c>
      <c r="U61" s="1" t="s">
        <v>293</v>
      </c>
      <c r="W61" s="1" t="s">
        <v>39</v>
      </c>
    </row>
    <row r="62" spans="1:23" ht="24.95" customHeight="1" x14ac:dyDescent="0.25">
      <c r="A62" s="9">
        <f>SUBTOTAL(103,$F$1:F62)-1</f>
        <v>61</v>
      </c>
      <c r="E62" s="1" t="s">
        <v>741</v>
      </c>
      <c r="F62" s="1" t="s">
        <v>742</v>
      </c>
      <c r="G62" s="1" t="s">
        <v>743</v>
      </c>
      <c r="H62" s="2" t="s">
        <v>744</v>
      </c>
      <c r="I62" s="2" t="s">
        <v>745</v>
      </c>
      <c r="J62" s="2" t="s">
        <v>746</v>
      </c>
      <c r="K62" s="2" t="s">
        <v>747</v>
      </c>
      <c r="M62" s="3">
        <v>2880954.34</v>
      </c>
      <c r="N62" s="15">
        <v>45343</v>
      </c>
      <c r="O62" s="1">
        <v>2</v>
      </c>
      <c r="P62" s="1" t="s">
        <v>748</v>
      </c>
      <c r="Q62" s="1" t="s">
        <v>35</v>
      </c>
      <c r="R62" s="1" t="s">
        <v>749</v>
      </c>
      <c r="S62" s="1" t="s">
        <v>750</v>
      </c>
      <c r="U62" s="1" t="s">
        <v>745</v>
      </c>
      <c r="W62" s="1" t="s">
        <v>39</v>
      </c>
    </row>
    <row r="63" spans="1:23" ht="24.95" customHeight="1" x14ac:dyDescent="0.25">
      <c r="A63" s="9">
        <f>SUBTOTAL(103,$F$1:F63)-1</f>
        <v>62</v>
      </c>
      <c r="E63" s="1" t="s">
        <v>751</v>
      </c>
      <c r="F63" s="1" t="s">
        <v>752</v>
      </c>
      <c r="G63" s="1" t="s">
        <v>743</v>
      </c>
      <c r="H63" s="2" t="s">
        <v>744</v>
      </c>
      <c r="I63" s="2" t="s">
        <v>753</v>
      </c>
      <c r="J63" s="2" t="s">
        <v>754</v>
      </c>
      <c r="K63" s="2" t="s">
        <v>755</v>
      </c>
      <c r="L63" s="2" t="s">
        <v>754</v>
      </c>
      <c r="M63" s="3">
        <v>1934970.27</v>
      </c>
      <c r="N63" s="15">
        <v>45343</v>
      </c>
      <c r="O63" s="1">
        <v>3</v>
      </c>
      <c r="P63" s="1" t="s">
        <v>756</v>
      </c>
      <c r="Q63" s="1" t="s">
        <v>35</v>
      </c>
      <c r="R63" s="1" t="s">
        <v>757</v>
      </c>
      <c r="S63" s="1" t="s">
        <v>750</v>
      </c>
      <c r="U63" s="1" t="s">
        <v>753</v>
      </c>
      <c r="W63" s="1" t="s">
        <v>39</v>
      </c>
    </row>
    <row r="64" spans="1:23" ht="24.95" customHeight="1" x14ac:dyDescent="0.25">
      <c r="A64" s="9">
        <f>SUBTOTAL(103,$F$1:F64)-1</f>
        <v>63</v>
      </c>
      <c r="C64" s="1" t="s">
        <v>407</v>
      </c>
      <c r="E64" s="1" t="s">
        <v>758</v>
      </c>
      <c r="F64" s="1" t="s">
        <v>759</v>
      </c>
      <c r="G64" s="1" t="s">
        <v>760</v>
      </c>
      <c r="H64" s="2" t="s">
        <v>761</v>
      </c>
      <c r="I64" s="2" t="s">
        <v>412</v>
      </c>
      <c r="J64" s="2" t="s">
        <v>413</v>
      </c>
      <c r="K64" s="2" t="s">
        <v>414</v>
      </c>
      <c r="L64" s="2" t="s">
        <v>415</v>
      </c>
      <c r="M64" s="3">
        <v>1783007.35</v>
      </c>
      <c r="N64" s="15">
        <v>45343</v>
      </c>
      <c r="O64" s="1">
        <v>2488</v>
      </c>
      <c r="P64" s="1" t="s">
        <v>416</v>
      </c>
      <c r="Q64" s="1" t="s">
        <v>35</v>
      </c>
      <c r="R64" s="1" t="s">
        <v>417</v>
      </c>
      <c r="S64" s="1" t="s">
        <v>762</v>
      </c>
      <c r="U64" s="1" t="s">
        <v>419</v>
      </c>
      <c r="W64" s="1" t="s">
        <v>39</v>
      </c>
    </row>
    <row r="65" spans="1:23" ht="24.95" customHeight="1" x14ac:dyDescent="0.25">
      <c r="A65" s="9">
        <f>SUBTOTAL(103,$F$1:F65)-1</f>
        <v>64</v>
      </c>
      <c r="B65" s="1" t="s">
        <v>763</v>
      </c>
      <c r="C65" s="1" t="s">
        <v>764</v>
      </c>
      <c r="E65" s="1" t="s">
        <v>765</v>
      </c>
      <c r="F65" s="1" t="s">
        <v>766</v>
      </c>
      <c r="G65" s="1" t="s">
        <v>767</v>
      </c>
      <c r="H65" s="2" t="s">
        <v>768</v>
      </c>
      <c r="I65" s="2" t="s">
        <v>769</v>
      </c>
      <c r="J65" s="2" t="s">
        <v>770</v>
      </c>
      <c r="K65" s="2" t="s">
        <v>771</v>
      </c>
      <c r="L65" s="2" t="s">
        <v>772</v>
      </c>
      <c r="M65" s="3">
        <v>54063904</v>
      </c>
      <c r="N65" s="15">
        <v>45343</v>
      </c>
      <c r="O65" s="1">
        <v>268</v>
      </c>
      <c r="P65" s="1" t="s">
        <v>773</v>
      </c>
      <c r="Q65" s="1" t="s">
        <v>35</v>
      </c>
      <c r="R65" s="1" t="s">
        <v>774</v>
      </c>
      <c r="S65" s="1" t="s">
        <v>775</v>
      </c>
      <c r="U65" s="1" t="s">
        <v>776</v>
      </c>
      <c r="W65" s="1" t="s">
        <v>39</v>
      </c>
    </row>
    <row r="66" spans="1:23" ht="24.95" customHeight="1" x14ac:dyDescent="0.25">
      <c r="A66" s="9">
        <f>SUBTOTAL(103,$F$1:F66)-1</f>
        <v>65</v>
      </c>
      <c r="B66" s="1" t="s">
        <v>777</v>
      </c>
      <c r="C66" s="1" t="s">
        <v>778</v>
      </c>
      <c r="E66" s="1" t="s">
        <v>779</v>
      </c>
      <c r="F66" s="1" t="s">
        <v>780</v>
      </c>
      <c r="G66" s="1" t="s">
        <v>781</v>
      </c>
      <c r="H66" s="2" t="s">
        <v>782</v>
      </c>
      <c r="I66" s="2" t="s">
        <v>783</v>
      </c>
      <c r="J66" s="2" t="s">
        <v>784</v>
      </c>
      <c r="K66" s="2" t="s">
        <v>785</v>
      </c>
      <c r="L66" s="2" t="s">
        <v>786</v>
      </c>
      <c r="M66" s="3">
        <v>16869973.16</v>
      </c>
      <c r="N66" s="15">
        <v>45343</v>
      </c>
      <c r="O66" s="1">
        <v>636</v>
      </c>
      <c r="P66" s="1" t="s">
        <v>787</v>
      </c>
      <c r="Q66" s="1" t="s">
        <v>35</v>
      </c>
      <c r="R66" s="1" t="s">
        <v>389</v>
      </c>
      <c r="S66" s="1" t="s">
        <v>788</v>
      </c>
      <c r="U66" s="1" t="s">
        <v>789</v>
      </c>
      <c r="W66" s="1" t="s">
        <v>39</v>
      </c>
    </row>
    <row r="67" spans="1:23" ht="24.95" customHeight="1" x14ac:dyDescent="0.25">
      <c r="A67" s="9">
        <f>SUBTOTAL(103,$F$1:F67)-1</f>
        <v>66</v>
      </c>
      <c r="B67" s="1" t="s">
        <v>790</v>
      </c>
      <c r="E67" s="1" t="s">
        <v>791</v>
      </c>
      <c r="F67" s="1" t="s">
        <v>792</v>
      </c>
      <c r="G67" s="1" t="s">
        <v>793</v>
      </c>
      <c r="H67" s="2" t="s">
        <v>794</v>
      </c>
      <c r="I67" s="2" t="s">
        <v>795</v>
      </c>
      <c r="J67" s="2" t="s">
        <v>796</v>
      </c>
      <c r="K67" s="2" t="s">
        <v>797</v>
      </c>
      <c r="L67" s="2" t="s">
        <v>798</v>
      </c>
      <c r="M67" s="3">
        <v>4265107.97</v>
      </c>
      <c r="N67" s="15">
        <v>45343</v>
      </c>
      <c r="O67" s="1">
        <v>12</v>
      </c>
      <c r="P67" s="1" t="s">
        <v>799</v>
      </c>
      <c r="Q67" s="1" t="s">
        <v>35</v>
      </c>
      <c r="R67" s="1" t="s">
        <v>499</v>
      </c>
      <c r="S67" s="1" t="s">
        <v>800</v>
      </c>
      <c r="U67" s="1" t="s">
        <v>801</v>
      </c>
      <c r="W67" s="1" t="s">
        <v>39</v>
      </c>
    </row>
    <row r="68" spans="1:23" ht="24.95" customHeight="1" x14ac:dyDescent="0.25">
      <c r="A68" s="9">
        <f>SUBTOTAL(103,$F$1:F68)-1</f>
        <v>67</v>
      </c>
      <c r="E68" s="1" t="s">
        <v>802</v>
      </c>
      <c r="F68" s="1" t="s">
        <v>803</v>
      </c>
      <c r="G68" s="1" t="s">
        <v>804</v>
      </c>
      <c r="H68" s="2" t="s">
        <v>805</v>
      </c>
      <c r="I68" s="2" t="s">
        <v>806</v>
      </c>
      <c r="J68" s="2" t="s">
        <v>807</v>
      </c>
      <c r="K68" s="2" t="s">
        <v>808</v>
      </c>
      <c r="L68" s="2" t="s">
        <v>809</v>
      </c>
      <c r="M68" s="3">
        <v>800000</v>
      </c>
      <c r="N68" s="15">
        <v>45343</v>
      </c>
      <c r="O68" s="1">
        <v>3</v>
      </c>
      <c r="P68" s="1" t="s">
        <v>810</v>
      </c>
      <c r="Q68" s="1" t="s">
        <v>35</v>
      </c>
      <c r="R68" s="1" t="s">
        <v>811</v>
      </c>
      <c r="S68" s="1" t="s">
        <v>804</v>
      </c>
      <c r="U68" s="1" t="s">
        <v>812</v>
      </c>
      <c r="W68" s="1" t="s">
        <v>39</v>
      </c>
    </row>
    <row r="69" spans="1:23" ht="24.95" customHeight="1" x14ac:dyDescent="0.25">
      <c r="A69" s="9">
        <f>SUBTOTAL(103,$F$1:F69)-1</f>
        <v>68</v>
      </c>
      <c r="B69" s="1" t="s">
        <v>54</v>
      </c>
      <c r="C69" s="1" t="s">
        <v>55</v>
      </c>
      <c r="D69" s="1" t="s">
        <v>56</v>
      </c>
      <c r="E69" s="1" t="s">
        <v>813</v>
      </c>
      <c r="F69" s="1" t="s">
        <v>814</v>
      </c>
      <c r="G69" s="1" t="s">
        <v>815</v>
      </c>
      <c r="H69" s="2" t="s">
        <v>816</v>
      </c>
      <c r="I69" s="2" t="s">
        <v>61</v>
      </c>
      <c r="J69" s="2" t="s">
        <v>62</v>
      </c>
      <c r="K69" s="2" t="s">
        <v>63</v>
      </c>
      <c r="L69" s="2" t="s">
        <v>64</v>
      </c>
      <c r="M69" s="3">
        <v>731515.08</v>
      </c>
      <c r="N69" s="15">
        <v>45343</v>
      </c>
      <c r="O69" s="1">
        <v>220462</v>
      </c>
      <c r="P69" s="1" t="s">
        <v>65</v>
      </c>
      <c r="Q69" s="1" t="s">
        <v>35</v>
      </c>
      <c r="R69" s="1" t="s">
        <v>66</v>
      </c>
      <c r="S69" s="1" t="s">
        <v>817</v>
      </c>
      <c r="U69" s="1" t="s">
        <v>68</v>
      </c>
      <c r="W69" s="1" t="s">
        <v>39</v>
      </c>
    </row>
    <row r="70" spans="1:23" ht="24.95" customHeight="1" x14ac:dyDescent="0.25">
      <c r="A70" s="9">
        <f>SUBTOTAL(103,$F$1:F70)-1</f>
        <v>69</v>
      </c>
      <c r="C70" s="1" t="s">
        <v>818</v>
      </c>
      <c r="E70" s="1" t="s">
        <v>819</v>
      </c>
      <c r="F70" s="1" t="s">
        <v>820</v>
      </c>
      <c r="G70" s="1" t="s">
        <v>721</v>
      </c>
      <c r="H70" s="2" t="s">
        <v>722</v>
      </c>
      <c r="I70" s="2" t="s">
        <v>821</v>
      </c>
      <c r="J70" s="2" t="s">
        <v>822</v>
      </c>
      <c r="K70" s="2" t="s">
        <v>823</v>
      </c>
      <c r="L70" s="2" t="s">
        <v>824</v>
      </c>
      <c r="M70" s="3">
        <v>711829.22</v>
      </c>
      <c r="N70" s="15">
        <v>45343</v>
      </c>
      <c r="O70" s="1">
        <v>36</v>
      </c>
      <c r="P70" s="1" t="s">
        <v>825</v>
      </c>
      <c r="Q70" s="1" t="s">
        <v>35</v>
      </c>
      <c r="R70" s="1" t="s">
        <v>224</v>
      </c>
      <c r="S70" s="1" t="s">
        <v>729</v>
      </c>
      <c r="U70" s="1" t="s">
        <v>826</v>
      </c>
      <c r="W70" s="1" t="s">
        <v>39</v>
      </c>
    </row>
    <row r="71" spans="1:23" ht="24.95" customHeight="1" x14ac:dyDescent="0.25">
      <c r="A71" s="9">
        <f>SUBTOTAL(103,$F$1:F71)-1</f>
        <v>70</v>
      </c>
      <c r="B71" s="1" t="s">
        <v>827</v>
      </c>
      <c r="E71" s="1" t="s">
        <v>828</v>
      </c>
      <c r="F71" s="1" t="s">
        <v>829</v>
      </c>
      <c r="G71" s="1" t="s">
        <v>830</v>
      </c>
      <c r="H71" s="2" t="s">
        <v>831</v>
      </c>
      <c r="I71" s="2" t="s">
        <v>832</v>
      </c>
      <c r="J71" s="2" t="s">
        <v>833</v>
      </c>
      <c r="K71" s="2" t="s">
        <v>834</v>
      </c>
      <c r="L71" s="2" t="s">
        <v>835</v>
      </c>
      <c r="M71" s="3">
        <v>2181198</v>
      </c>
      <c r="N71" s="15">
        <v>45343</v>
      </c>
      <c r="O71" s="1">
        <v>3</v>
      </c>
      <c r="P71" s="1" t="s">
        <v>836</v>
      </c>
      <c r="Q71" s="1" t="s">
        <v>35</v>
      </c>
      <c r="R71" s="1" t="s">
        <v>837</v>
      </c>
      <c r="S71" s="1" t="s">
        <v>838</v>
      </c>
      <c r="U71" s="1" t="s">
        <v>839</v>
      </c>
      <c r="W71" s="1" t="s">
        <v>39</v>
      </c>
    </row>
    <row r="72" spans="1:23" ht="24.95" customHeight="1" x14ac:dyDescent="0.25">
      <c r="A72" s="9">
        <f>SUBTOTAL(103,$F$1:F72)-1</f>
        <v>71</v>
      </c>
      <c r="B72" s="1" t="s">
        <v>840</v>
      </c>
      <c r="C72" s="1" t="s">
        <v>841</v>
      </c>
      <c r="D72" s="1" t="s">
        <v>842</v>
      </c>
      <c r="E72" s="1" t="s">
        <v>843</v>
      </c>
      <c r="F72" s="1" t="s">
        <v>844</v>
      </c>
      <c r="G72" s="1" t="s">
        <v>845</v>
      </c>
      <c r="H72" s="2" t="s">
        <v>846</v>
      </c>
      <c r="I72" s="2" t="s">
        <v>847</v>
      </c>
      <c r="J72" s="2" t="s">
        <v>848</v>
      </c>
      <c r="K72" s="2" t="s">
        <v>849</v>
      </c>
      <c r="L72" s="2" t="s">
        <v>850</v>
      </c>
      <c r="M72" s="3">
        <v>5747741.1100000003</v>
      </c>
      <c r="N72" s="15">
        <v>45343</v>
      </c>
      <c r="O72" s="1">
        <v>362</v>
      </c>
      <c r="P72" s="1" t="s">
        <v>851</v>
      </c>
      <c r="Q72" s="1" t="s">
        <v>35</v>
      </c>
      <c r="R72" s="1" t="s">
        <v>200</v>
      </c>
      <c r="S72" s="1" t="s">
        <v>852</v>
      </c>
      <c r="U72" s="1" t="s">
        <v>853</v>
      </c>
      <c r="W72" s="1" t="s">
        <v>39</v>
      </c>
    </row>
    <row r="73" spans="1:23" ht="24.95" customHeight="1" x14ac:dyDescent="0.25">
      <c r="A73" s="9">
        <f>SUBTOTAL(103,$F$1:F73)-1</f>
        <v>72</v>
      </c>
      <c r="B73" s="1" t="s">
        <v>854</v>
      </c>
      <c r="C73" s="1" t="s">
        <v>855</v>
      </c>
      <c r="E73" s="1" t="s">
        <v>856</v>
      </c>
      <c r="F73" s="1" t="s">
        <v>857</v>
      </c>
      <c r="G73" s="1" t="s">
        <v>858</v>
      </c>
      <c r="H73" s="2" t="s">
        <v>859</v>
      </c>
      <c r="I73" s="2" t="s">
        <v>860</v>
      </c>
      <c r="J73" s="2" t="s">
        <v>861</v>
      </c>
      <c r="K73" s="2" t="s">
        <v>862</v>
      </c>
      <c r="L73" s="2" t="s">
        <v>863</v>
      </c>
      <c r="M73" s="3">
        <v>633500</v>
      </c>
      <c r="N73" s="15">
        <v>45343</v>
      </c>
      <c r="O73" s="1">
        <v>6</v>
      </c>
      <c r="P73" s="1" t="s">
        <v>864</v>
      </c>
      <c r="Q73" s="1" t="s">
        <v>35</v>
      </c>
      <c r="R73" s="1" t="s">
        <v>865</v>
      </c>
      <c r="S73" s="1" t="s">
        <v>866</v>
      </c>
      <c r="U73" s="1" t="s">
        <v>867</v>
      </c>
      <c r="W73" s="1" t="s">
        <v>39</v>
      </c>
    </row>
    <row r="74" spans="1:23" ht="24.95" customHeight="1" x14ac:dyDescent="0.25">
      <c r="A74" s="9">
        <f>SUBTOTAL(103,$F$1:F74)-1</f>
        <v>73</v>
      </c>
      <c r="B74" s="1" t="s">
        <v>868</v>
      </c>
      <c r="C74" s="1" t="s">
        <v>869</v>
      </c>
      <c r="D74" s="1" t="s">
        <v>870</v>
      </c>
      <c r="E74" s="1" t="s">
        <v>871</v>
      </c>
      <c r="F74" s="1" t="s">
        <v>872</v>
      </c>
      <c r="G74" s="1" t="s">
        <v>873</v>
      </c>
      <c r="H74" s="2" t="s">
        <v>874</v>
      </c>
      <c r="I74" s="2" t="s">
        <v>875</v>
      </c>
      <c r="J74" s="2" t="s">
        <v>876</v>
      </c>
      <c r="K74" s="2" t="s">
        <v>877</v>
      </c>
      <c r="L74" s="2" t="s">
        <v>878</v>
      </c>
      <c r="M74" s="3">
        <v>2207842</v>
      </c>
      <c r="N74" s="15">
        <v>45343</v>
      </c>
      <c r="O74" s="1">
        <v>2669</v>
      </c>
      <c r="P74" s="1" t="s">
        <v>879</v>
      </c>
      <c r="Q74" s="1" t="s">
        <v>35</v>
      </c>
      <c r="R74" s="1" t="s">
        <v>880</v>
      </c>
      <c r="S74" s="1" t="s">
        <v>881</v>
      </c>
      <c r="U74" s="1" t="s">
        <v>882</v>
      </c>
      <c r="W74" s="1" t="s">
        <v>39</v>
      </c>
    </row>
    <row r="75" spans="1:23" ht="24.95" customHeight="1" x14ac:dyDescent="0.25">
      <c r="A75" s="9">
        <f>SUBTOTAL(103,$F$1:F75)-1</f>
        <v>74</v>
      </c>
      <c r="E75" s="1" t="s">
        <v>883</v>
      </c>
      <c r="F75" s="1" t="s">
        <v>884</v>
      </c>
      <c r="G75" s="1" t="s">
        <v>885</v>
      </c>
      <c r="H75" s="2" t="s">
        <v>886</v>
      </c>
      <c r="I75" s="2" t="s">
        <v>887</v>
      </c>
      <c r="J75" s="2" t="s">
        <v>888</v>
      </c>
      <c r="K75" s="2" t="s">
        <v>889</v>
      </c>
      <c r="L75" s="2" t="s">
        <v>890</v>
      </c>
      <c r="M75" s="3">
        <v>7500000</v>
      </c>
      <c r="N75" s="15">
        <v>45343</v>
      </c>
      <c r="O75" s="1">
        <v>46</v>
      </c>
      <c r="P75" s="1" t="s">
        <v>891</v>
      </c>
      <c r="Q75" s="1" t="s">
        <v>35</v>
      </c>
      <c r="R75" s="1" t="s">
        <v>892</v>
      </c>
      <c r="S75" s="1" t="s">
        <v>893</v>
      </c>
      <c r="U75" s="1" t="s">
        <v>894</v>
      </c>
      <c r="W75" s="1" t="s">
        <v>39</v>
      </c>
    </row>
    <row r="76" spans="1:23" ht="24.95" customHeight="1" x14ac:dyDescent="0.25">
      <c r="A76" s="9">
        <f>SUBTOTAL(103,$F$1:F76)-1</f>
        <v>75</v>
      </c>
      <c r="B76" s="1" t="s">
        <v>895</v>
      </c>
      <c r="C76" s="1" t="s">
        <v>896</v>
      </c>
      <c r="D76" s="1" t="s">
        <v>897</v>
      </c>
      <c r="E76" s="1" t="s">
        <v>898</v>
      </c>
      <c r="F76" s="1" t="s">
        <v>899</v>
      </c>
      <c r="G76" s="1" t="s">
        <v>900</v>
      </c>
      <c r="H76" s="2" t="s">
        <v>901</v>
      </c>
      <c r="I76" s="2" t="s">
        <v>902</v>
      </c>
      <c r="J76" s="2" t="s">
        <v>903</v>
      </c>
      <c r="K76" s="2" t="s">
        <v>904</v>
      </c>
      <c r="L76" s="2" t="s">
        <v>905</v>
      </c>
      <c r="M76" s="3">
        <v>939708</v>
      </c>
      <c r="N76" s="15">
        <v>45343</v>
      </c>
      <c r="O76" s="1">
        <v>9</v>
      </c>
      <c r="P76" s="1" t="s">
        <v>906</v>
      </c>
      <c r="Q76" s="1" t="s">
        <v>35</v>
      </c>
      <c r="R76" s="1" t="s">
        <v>200</v>
      </c>
      <c r="S76" s="1" t="s">
        <v>907</v>
      </c>
      <c r="U76" s="1" t="s">
        <v>908</v>
      </c>
      <c r="W76" s="1" t="s">
        <v>39</v>
      </c>
    </row>
    <row r="77" spans="1:23" ht="24.95" customHeight="1" x14ac:dyDescent="0.25">
      <c r="A77" s="9">
        <f>SUBTOTAL(103,$F$1:F77)-1</f>
        <v>76</v>
      </c>
      <c r="B77" s="1" t="s">
        <v>909</v>
      </c>
      <c r="C77" s="1" t="s">
        <v>910</v>
      </c>
      <c r="D77" s="1" t="s">
        <v>911</v>
      </c>
      <c r="E77" s="1" t="s">
        <v>912</v>
      </c>
      <c r="F77" s="1" t="s">
        <v>913</v>
      </c>
      <c r="G77" s="1" t="s">
        <v>914</v>
      </c>
      <c r="H77" s="2" t="s">
        <v>915</v>
      </c>
      <c r="I77" s="2" t="s">
        <v>916</v>
      </c>
      <c r="J77" s="2" t="s">
        <v>917</v>
      </c>
      <c r="K77" s="2" t="s">
        <v>918</v>
      </c>
      <c r="L77" s="2" t="s">
        <v>919</v>
      </c>
      <c r="M77" s="3">
        <v>2449484.2200000002</v>
      </c>
      <c r="N77" s="15">
        <v>45343</v>
      </c>
      <c r="O77" s="1">
        <v>55</v>
      </c>
      <c r="P77" s="1" t="s">
        <v>920</v>
      </c>
      <c r="Q77" s="1" t="s">
        <v>35</v>
      </c>
      <c r="R77" s="1" t="s">
        <v>921</v>
      </c>
      <c r="S77" s="1" t="s">
        <v>922</v>
      </c>
      <c r="U77" s="1" t="s">
        <v>923</v>
      </c>
      <c r="W77" s="1" t="s">
        <v>39</v>
      </c>
    </row>
    <row r="78" spans="1:23" ht="24.95" customHeight="1" x14ac:dyDescent="0.25">
      <c r="A78" s="9">
        <f>SUBTOTAL(103,$F$1:F78)-1</f>
        <v>77</v>
      </c>
      <c r="B78" s="1" t="s">
        <v>924</v>
      </c>
      <c r="C78" s="1" t="s">
        <v>925</v>
      </c>
      <c r="E78" s="1" t="s">
        <v>926</v>
      </c>
      <c r="F78" s="1" t="s">
        <v>927</v>
      </c>
      <c r="G78" s="1" t="s">
        <v>928</v>
      </c>
      <c r="H78" s="2" t="s">
        <v>929</v>
      </c>
      <c r="I78" s="2" t="s">
        <v>930</v>
      </c>
      <c r="J78" s="2" t="s">
        <v>931</v>
      </c>
      <c r="K78" s="2" t="s">
        <v>932</v>
      </c>
      <c r="L78" s="2" t="s">
        <v>933</v>
      </c>
      <c r="M78" s="3">
        <v>1690892.29</v>
      </c>
      <c r="N78" s="15">
        <v>45343</v>
      </c>
      <c r="O78" s="1">
        <v>45</v>
      </c>
      <c r="P78" s="1" t="s">
        <v>934</v>
      </c>
      <c r="Q78" s="1" t="s">
        <v>35</v>
      </c>
      <c r="R78" s="1" t="s">
        <v>224</v>
      </c>
      <c r="S78" s="1" t="s">
        <v>935</v>
      </c>
      <c r="U78" s="1" t="s">
        <v>936</v>
      </c>
      <c r="W78" s="1" t="s">
        <v>39</v>
      </c>
    </row>
    <row r="79" spans="1:23" ht="24.95" customHeight="1" x14ac:dyDescent="0.25">
      <c r="A79" s="9">
        <f>SUBTOTAL(103,$F$1:F79)-1</f>
        <v>78</v>
      </c>
      <c r="B79" s="1" t="s">
        <v>937</v>
      </c>
      <c r="E79" s="1" t="s">
        <v>938</v>
      </c>
      <c r="F79" s="1" t="s">
        <v>939</v>
      </c>
      <c r="G79" s="1" t="s">
        <v>940</v>
      </c>
      <c r="H79" s="2" t="s">
        <v>941</v>
      </c>
      <c r="I79" s="2" t="s">
        <v>942</v>
      </c>
      <c r="J79" s="2" t="s">
        <v>943</v>
      </c>
      <c r="K79" s="2" t="s">
        <v>944</v>
      </c>
      <c r="L79" s="2" t="s">
        <v>945</v>
      </c>
      <c r="M79" s="3">
        <v>4847539</v>
      </c>
      <c r="N79" s="15">
        <v>45343</v>
      </c>
      <c r="O79" s="1">
        <v>1</v>
      </c>
      <c r="P79" s="1" t="s">
        <v>946</v>
      </c>
      <c r="Q79" s="1" t="s">
        <v>35</v>
      </c>
      <c r="R79" s="1" t="s">
        <v>947</v>
      </c>
      <c r="S79" s="1" t="s">
        <v>940</v>
      </c>
      <c r="U79" s="1" t="s">
        <v>948</v>
      </c>
      <c r="W79" s="1" t="s">
        <v>39</v>
      </c>
    </row>
    <row r="80" spans="1:23" ht="24.95" customHeight="1" x14ac:dyDescent="0.25">
      <c r="A80" s="9">
        <f>SUBTOTAL(103,$F$1:F80)-1</f>
        <v>79</v>
      </c>
      <c r="E80" s="1" t="s">
        <v>949</v>
      </c>
      <c r="F80" s="1" t="s">
        <v>950</v>
      </c>
      <c r="G80" s="1" t="s">
        <v>951</v>
      </c>
      <c r="H80" s="2" t="s">
        <v>952</v>
      </c>
      <c r="I80" s="2" t="s">
        <v>953</v>
      </c>
      <c r="J80" s="2" t="s">
        <v>954</v>
      </c>
      <c r="K80" s="2" t="s">
        <v>955</v>
      </c>
      <c r="L80" s="2" t="s">
        <v>956</v>
      </c>
      <c r="M80" s="3">
        <v>5398668.1699999999</v>
      </c>
      <c r="N80" s="15">
        <v>45343</v>
      </c>
      <c r="O80" s="1">
        <v>2</v>
      </c>
      <c r="P80" s="1" t="s">
        <v>957</v>
      </c>
      <c r="Q80" s="1" t="s">
        <v>35</v>
      </c>
      <c r="R80" s="1" t="s">
        <v>200</v>
      </c>
      <c r="S80" s="1" t="s">
        <v>958</v>
      </c>
      <c r="U80" s="1" t="s">
        <v>959</v>
      </c>
      <c r="W80" s="1" t="s">
        <v>39</v>
      </c>
    </row>
    <row r="81" spans="1:23" ht="24.95" customHeight="1" x14ac:dyDescent="0.25">
      <c r="A81" s="9">
        <f>SUBTOTAL(103,$F$1:F81)-1</f>
        <v>80</v>
      </c>
      <c r="C81" s="1" t="s">
        <v>960</v>
      </c>
      <c r="E81" s="1" t="s">
        <v>961</v>
      </c>
      <c r="F81" s="1" t="s">
        <v>962</v>
      </c>
      <c r="G81" s="1" t="s">
        <v>963</v>
      </c>
      <c r="H81" s="2" t="s">
        <v>964</v>
      </c>
      <c r="I81" s="2" t="s">
        <v>965</v>
      </c>
      <c r="J81" s="2" t="s">
        <v>966</v>
      </c>
      <c r="K81" s="2" t="s">
        <v>967</v>
      </c>
      <c r="L81" s="2" t="s">
        <v>968</v>
      </c>
      <c r="M81" s="3">
        <v>768000</v>
      </c>
      <c r="N81" s="15">
        <v>45343</v>
      </c>
      <c r="O81" s="1">
        <v>2</v>
      </c>
      <c r="P81" s="1" t="s">
        <v>969</v>
      </c>
      <c r="Q81" s="1" t="s">
        <v>35</v>
      </c>
      <c r="R81" s="1" t="s">
        <v>224</v>
      </c>
      <c r="S81" s="1" t="s">
        <v>970</v>
      </c>
      <c r="U81" s="1" t="s">
        <v>971</v>
      </c>
      <c r="W81" s="1" t="s">
        <v>39</v>
      </c>
    </row>
    <row r="82" spans="1:23" ht="24.95" customHeight="1" x14ac:dyDescent="0.25">
      <c r="A82" s="9">
        <f>SUBTOTAL(103,$F$1:F82)-1</f>
        <v>81</v>
      </c>
      <c r="B82" s="1" t="s">
        <v>972</v>
      </c>
      <c r="C82" s="1" t="s">
        <v>973</v>
      </c>
      <c r="E82" s="1" t="s">
        <v>974</v>
      </c>
      <c r="F82" s="1" t="s">
        <v>975</v>
      </c>
      <c r="G82" s="1" t="s">
        <v>976</v>
      </c>
      <c r="H82" s="2" t="s">
        <v>977</v>
      </c>
      <c r="I82" s="2" t="s">
        <v>978</v>
      </c>
      <c r="J82" s="2" t="s">
        <v>979</v>
      </c>
      <c r="K82" s="2" t="s">
        <v>980</v>
      </c>
      <c r="L82" s="2" t="s">
        <v>981</v>
      </c>
      <c r="M82" s="3">
        <v>1695120.67</v>
      </c>
      <c r="N82" s="15">
        <v>45343</v>
      </c>
      <c r="O82" s="1">
        <v>39</v>
      </c>
      <c r="P82" s="1" t="s">
        <v>982</v>
      </c>
      <c r="Q82" s="1" t="s">
        <v>35</v>
      </c>
      <c r="R82" s="1" t="s">
        <v>224</v>
      </c>
      <c r="S82" s="1" t="s">
        <v>976</v>
      </c>
      <c r="U82" s="1" t="s">
        <v>983</v>
      </c>
      <c r="W82" s="1" t="s">
        <v>39</v>
      </c>
    </row>
    <row r="83" spans="1:23" ht="24.95" customHeight="1" x14ac:dyDescent="0.25">
      <c r="A83" s="9">
        <f>SUBTOTAL(103,$F$1:F83)-1</f>
        <v>82</v>
      </c>
      <c r="C83" s="1" t="s">
        <v>984</v>
      </c>
      <c r="E83" s="1" t="s">
        <v>985</v>
      </c>
      <c r="F83" s="1" t="s">
        <v>986</v>
      </c>
      <c r="G83" s="1" t="s">
        <v>928</v>
      </c>
      <c r="H83" s="2" t="s">
        <v>929</v>
      </c>
      <c r="I83" s="2" t="s">
        <v>987</v>
      </c>
      <c r="J83" s="2" t="s">
        <v>988</v>
      </c>
      <c r="K83" s="2" t="s">
        <v>989</v>
      </c>
      <c r="L83" s="2" t="s">
        <v>990</v>
      </c>
      <c r="M83" s="3">
        <v>967234.33</v>
      </c>
      <c r="N83" s="15">
        <v>45343</v>
      </c>
      <c r="O83" s="1">
        <v>16</v>
      </c>
      <c r="P83" s="1" t="s">
        <v>991</v>
      </c>
      <c r="Q83" s="1" t="s">
        <v>35</v>
      </c>
      <c r="R83" s="1" t="s">
        <v>224</v>
      </c>
      <c r="S83" s="1" t="s">
        <v>935</v>
      </c>
      <c r="U83" s="1" t="s">
        <v>992</v>
      </c>
      <c r="W83" s="1" t="s">
        <v>39</v>
      </c>
    </row>
    <row r="84" spans="1:23" ht="24.95" customHeight="1" x14ac:dyDescent="0.25">
      <c r="A84" s="9">
        <f>SUBTOTAL(103,$F$1:F84)-1</f>
        <v>83</v>
      </c>
      <c r="C84" s="1" t="s">
        <v>993</v>
      </c>
      <c r="D84" s="1" t="s">
        <v>994</v>
      </c>
      <c r="E84" s="1" t="s">
        <v>995</v>
      </c>
      <c r="F84" s="1" t="s">
        <v>996</v>
      </c>
      <c r="G84" s="1" t="s">
        <v>61</v>
      </c>
      <c r="H84" s="2" t="s">
        <v>62</v>
      </c>
      <c r="I84" s="2" t="s">
        <v>997</v>
      </c>
      <c r="J84" s="2" t="s">
        <v>998</v>
      </c>
      <c r="K84" s="2" t="s">
        <v>999</v>
      </c>
      <c r="L84" s="2" t="s">
        <v>1000</v>
      </c>
      <c r="M84" s="3">
        <v>2541155.75</v>
      </c>
      <c r="N84" s="15">
        <v>45343</v>
      </c>
      <c r="O84" s="1">
        <v>6</v>
      </c>
      <c r="P84" s="1" t="s">
        <v>1001</v>
      </c>
      <c r="Q84" s="1" t="s">
        <v>35</v>
      </c>
      <c r="R84" s="1" t="s">
        <v>880</v>
      </c>
      <c r="S84" s="1" t="s">
        <v>68</v>
      </c>
      <c r="U84" s="1" t="s">
        <v>1002</v>
      </c>
      <c r="W84" s="1" t="s">
        <v>420</v>
      </c>
    </row>
    <row r="85" spans="1:23" ht="24.95" customHeight="1" x14ac:dyDescent="0.25">
      <c r="A85" s="9">
        <f>SUBTOTAL(103,$F$1:F85)-1</f>
        <v>84</v>
      </c>
      <c r="E85" s="1" t="s">
        <v>1003</v>
      </c>
      <c r="F85" s="1" t="s">
        <v>1004</v>
      </c>
      <c r="H85" s="2" t="s">
        <v>347</v>
      </c>
      <c r="I85" s="2" t="s">
        <v>1005</v>
      </c>
      <c r="J85" s="2" t="s">
        <v>1006</v>
      </c>
      <c r="K85" s="2" t="s">
        <v>1007</v>
      </c>
      <c r="L85" s="2" t="s">
        <v>1006</v>
      </c>
      <c r="M85" s="3">
        <v>1073877.25</v>
      </c>
      <c r="N85" s="15">
        <v>45343</v>
      </c>
      <c r="O85" s="1">
        <v>8</v>
      </c>
      <c r="P85" s="1" t="s">
        <v>1008</v>
      </c>
      <c r="Q85" s="1" t="s">
        <v>35</v>
      </c>
      <c r="R85" s="1" t="s">
        <v>1009</v>
      </c>
      <c r="S85" s="1" t="s">
        <v>1010</v>
      </c>
      <c r="U85" s="1" t="s">
        <v>1005</v>
      </c>
      <c r="W85" s="1" t="s">
        <v>1011</v>
      </c>
    </row>
    <row r="86" spans="1:23" ht="24.95" customHeight="1" x14ac:dyDescent="0.25">
      <c r="A86" s="9">
        <f>SUBTOTAL(103,$F$1:F86)-1</f>
        <v>85</v>
      </c>
      <c r="B86" s="1" t="s">
        <v>1012</v>
      </c>
      <c r="C86" s="1" t="s">
        <v>1013</v>
      </c>
      <c r="E86" s="1" t="s">
        <v>1014</v>
      </c>
      <c r="F86" s="1" t="s">
        <v>1015</v>
      </c>
      <c r="G86" s="1" t="s">
        <v>1016</v>
      </c>
      <c r="H86" s="2" t="s">
        <v>1017</v>
      </c>
      <c r="I86" s="2" t="s">
        <v>1018</v>
      </c>
      <c r="J86" s="2" t="s">
        <v>1019</v>
      </c>
      <c r="K86" s="2" t="s">
        <v>1020</v>
      </c>
      <c r="L86" s="2" t="s">
        <v>1021</v>
      </c>
      <c r="M86" s="3">
        <v>8591978.0899999999</v>
      </c>
      <c r="N86" s="15">
        <v>45343</v>
      </c>
      <c r="O86" s="1">
        <v>2</v>
      </c>
      <c r="P86" s="1" t="s">
        <v>1022</v>
      </c>
      <c r="Q86" s="1" t="s">
        <v>35</v>
      </c>
      <c r="R86" s="1" t="s">
        <v>224</v>
      </c>
      <c r="S86" s="1" t="s">
        <v>1023</v>
      </c>
      <c r="U86" s="1" t="s">
        <v>1024</v>
      </c>
      <c r="W86" s="1" t="s">
        <v>1011</v>
      </c>
    </row>
    <row r="87" spans="1:23" ht="24.95" customHeight="1" x14ac:dyDescent="0.25">
      <c r="A87" s="9">
        <f>SUBTOTAL(103,$F$1:F87)-1</f>
        <v>86</v>
      </c>
      <c r="B87" s="1" t="s">
        <v>1025</v>
      </c>
      <c r="C87" s="1" t="s">
        <v>1026</v>
      </c>
      <c r="D87" s="1" t="s">
        <v>1027</v>
      </c>
      <c r="E87" s="1" t="s">
        <v>1028</v>
      </c>
      <c r="F87" s="1" t="s">
        <v>1029</v>
      </c>
      <c r="G87" s="1" t="s">
        <v>1030</v>
      </c>
      <c r="H87" s="2" t="s">
        <v>1031</v>
      </c>
      <c r="I87" s="2" t="s">
        <v>1032</v>
      </c>
      <c r="J87" s="2" t="s">
        <v>1033</v>
      </c>
      <c r="K87" s="2" t="s">
        <v>1034</v>
      </c>
      <c r="L87" s="2" t="s">
        <v>1035</v>
      </c>
      <c r="M87" s="3">
        <v>748425.5</v>
      </c>
      <c r="N87" s="15">
        <v>45343</v>
      </c>
      <c r="O87" s="1">
        <v>1837</v>
      </c>
      <c r="P87" s="1" t="s">
        <v>1036</v>
      </c>
      <c r="Q87" s="1" t="s">
        <v>35</v>
      </c>
      <c r="R87" s="1" t="s">
        <v>1037</v>
      </c>
      <c r="S87" s="1" t="s">
        <v>1038</v>
      </c>
      <c r="U87" s="1" t="s">
        <v>1039</v>
      </c>
      <c r="W87" s="1" t="s">
        <v>39</v>
      </c>
    </row>
    <row r="88" spans="1:23" ht="24.95" customHeight="1" x14ac:dyDescent="0.25">
      <c r="A88" s="9">
        <f>SUBTOTAL(103,$F$1:F88)-1</f>
        <v>87</v>
      </c>
      <c r="B88" s="1" t="s">
        <v>1040</v>
      </c>
      <c r="C88" s="1" t="s">
        <v>1041</v>
      </c>
      <c r="E88" s="1" t="s">
        <v>1042</v>
      </c>
      <c r="F88" s="1" t="s">
        <v>1043</v>
      </c>
      <c r="G88" s="1" t="s">
        <v>1044</v>
      </c>
      <c r="H88" s="2" t="s">
        <v>1045</v>
      </c>
      <c r="I88" s="2" t="s">
        <v>1046</v>
      </c>
      <c r="J88" s="2" t="s">
        <v>1047</v>
      </c>
      <c r="K88" s="2" t="s">
        <v>1048</v>
      </c>
      <c r="L88" s="2" t="s">
        <v>1049</v>
      </c>
      <c r="M88" s="3">
        <v>11880355</v>
      </c>
      <c r="N88" s="15">
        <v>45343</v>
      </c>
      <c r="O88" s="1">
        <v>16</v>
      </c>
      <c r="P88" s="1" t="s">
        <v>1050</v>
      </c>
      <c r="Q88" s="1" t="s">
        <v>35</v>
      </c>
      <c r="R88" s="1" t="s">
        <v>1051</v>
      </c>
      <c r="S88" s="1" t="s">
        <v>1052</v>
      </c>
      <c r="U88" s="1" t="s">
        <v>1053</v>
      </c>
      <c r="W88" s="1" t="s">
        <v>39</v>
      </c>
    </row>
    <row r="89" spans="1:23" ht="24.95" customHeight="1" x14ac:dyDescent="0.25">
      <c r="A89" s="9">
        <f>SUBTOTAL(103,$F$1:F89)-1</f>
        <v>88</v>
      </c>
      <c r="C89" s="1" t="s">
        <v>1054</v>
      </c>
      <c r="D89" s="1" t="s">
        <v>1055</v>
      </c>
      <c r="E89" s="1" t="s">
        <v>1056</v>
      </c>
      <c r="F89" s="1" t="s">
        <v>1057</v>
      </c>
      <c r="G89" s="1" t="s">
        <v>1058</v>
      </c>
      <c r="H89" s="2" t="s">
        <v>1059</v>
      </c>
      <c r="I89" s="2" t="s">
        <v>1060</v>
      </c>
      <c r="J89" s="2" t="s">
        <v>1061</v>
      </c>
      <c r="K89" s="2" t="s">
        <v>1062</v>
      </c>
      <c r="L89" s="2" t="s">
        <v>1063</v>
      </c>
      <c r="M89" s="3">
        <v>2987154.64</v>
      </c>
      <c r="N89" s="15">
        <v>45343</v>
      </c>
      <c r="O89" s="1">
        <v>11</v>
      </c>
      <c r="P89" s="1" t="s">
        <v>1064</v>
      </c>
      <c r="Q89" s="1" t="s">
        <v>35</v>
      </c>
      <c r="R89" s="1" t="s">
        <v>690</v>
      </c>
      <c r="S89" s="1" t="s">
        <v>1065</v>
      </c>
      <c r="U89" s="1" t="s">
        <v>1066</v>
      </c>
      <c r="W89" s="1" t="s">
        <v>39</v>
      </c>
    </row>
    <row r="90" spans="1:23" ht="24.95" customHeight="1" x14ac:dyDescent="0.25">
      <c r="A90" s="9">
        <f>SUBTOTAL(103,$F$1:F90)-1</f>
        <v>89</v>
      </c>
      <c r="E90" s="1" t="s">
        <v>1067</v>
      </c>
      <c r="F90" s="1" t="s">
        <v>1068</v>
      </c>
      <c r="G90" s="1" t="s">
        <v>1069</v>
      </c>
      <c r="H90" s="2" t="s">
        <v>1070</v>
      </c>
      <c r="I90" s="2" t="s">
        <v>1071</v>
      </c>
      <c r="J90" s="2" t="s">
        <v>1072</v>
      </c>
      <c r="K90" s="2" t="s">
        <v>1073</v>
      </c>
      <c r="L90" s="2" t="s">
        <v>1074</v>
      </c>
      <c r="M90" s="3">
        <v>3891906.12</v>
      </c>
      <c r="N90" s="15">
        <v>45343</v>
      </c>
      <c r="O90" s="1">
        <v>18</v>
      </c>
      <c r="P90" s="1" t="s">
        <v>1075</v>
      </c>
      <c r="Q90" s="1" t="s">
        <v>35</v>
      </c>
      <c r="R90" s="1" t="s">
        <v>1076</v>
      </c>
      <c r="S90" s="1" t="s">
        <v>1069</v>
      </c>
      <c r="U90" s="1" t="s">
        <v>1077</v>
      </c>
      <c r="W90" s="1" t="s">
        <v>39</v>
      </c>
    </row>
    <row r="91" spans="1:23" ht="24.95" customHeight="1" x14ac:dyDescent="0.25">
      <c r="A91" s="9">
        <f>SUBTOTAL(103,$F$1:F91)-1</f>
        <v>90</v>
      </c>
      <c r="B91" s="1" t="s">
        <v>1078</v>
      </c>
      <c r="C91" s="1" t="s">
        <v>1079</v>
      </c>
      <c r="E91" s="1" t="s">
        <v>1080</v>
      </c>
      <c r="F91" s="1" t="s">
        <v>1081</v>
      </c>
      <c r="G91" s="1" t="s">
        <v>1082</v>
      </c>
      <c r="H91" s="2" t="s">
        <v>1083</v>
      </c>
      <c r="I91" s="2" t="s">
        <v>1084</v>
      </c>
      <c r="J91" s="2" t="s">
        <v>1085</v>
      </c>
      <c r="K91" s="2" t="s">
        <v>278</v>
      </c>
      <c r="L91" s="2" t="s">
        <v>279</v>
      </c>
      <c r="M91" s="3">
        <v>2246377.54</v>
      </c>
      <c r="N91" s="15">
        <v>45344</v>
      </c>
      <c r="O91" s="1">
        <v>13</v>
      </c>
      <c r="P91" s="1" t="s">
        <v>1086</v>
      </c>
      <c r="Q91" s="1" t="s">
        <v>35</v>
      </c>
      <c r="R91" s="1" t="s">
        <v>174</v>
      </c>
      <c r="S91" s="1" t="s">
        <v>1087</v>
      </c>
      <c r="U91" s="1" t="s">
        <v>1088</v>
      </c>
      <c r="W91" s="1" t="s">
        <v>39</v>
      </c>
    </row>
    <row r="92" spans="1:23" ht="24.95" customHeight="1" x14ac:dyDescent="0.25">
      <c r="A92" s="9">
        <f>SUBTOTAL(103,$F$1:F92)-1</f>
        <v>91</v>
      </c>
      <c r="B92" s="1" t="s">
        <v>1089</v>
      </c>
      <c r="C92" s="1" t="s">
        <v>1090</v>
      </c>
      <c r="E92" s="1" t="s">
        <v>1091</v>
      </c>
      <c r="F92" s="1" t="s">
        <v>1092</v>
      </c>
      <c r="G92" s="1" t="s">
        <v>1093</v>
      </c>
      <c r="H92" s="2" t="s">
        <v>1094</v>
      </c>
      <c r="I92" s="2" t="s">
        <v>1095</v>
      </c>
      <c r="J92" s="2" t="s">
        <v>1096</v>
      </c>
      <c r="K92" s="2" t="s">
        <v>1097</v>
      </c>
      <c r="L92" s="2" t="s">
        <v>1098</v>
      </c>
      <c r="M92" s="3">
        <v>1416698.45</v>
      </c>
      <c r="N92" s="15">
        <v>45343</v>
      </c>
      <c r="O92" s="1">
        <v>286</v>
      </c>
      <c r="P92" s="1" t="s">
        <v>1099</v>
      </c>
      <c r="Q92" s="1" t="s">
        <v>35</v>
      </c>
      <c r="R92" s="1" t="s">
        <v>159</v>
      </c>
      <c r="S92" s="1" t="s">
        <v>1100</v>
      </c>
      <c r="U92" s="1" t="s">
        <v>1101</v>
      </c>
      <c r="W92" s="1" t="s">
        <v>39</v>
      </c>
    </row>
    <row r="93" spans="1:23" ht="24.95" customHeight="1" x14ac:dyDescent="0.25">
      <c r="A93" s="9">
        <f>SUBTOTAL(103,$F$1:F93)-1</f>
        <v>92</v>
      </c>
      <c r="B93" s="1" t="s">
        <v>1102</v>
      </c>
      <c r="C93" s="1" t="s">
        <v>1103</v>
      </c>
      <c r="E93" s="1" t="s">
        <v>1104</v>
      </c>
      <c r="F93" s="1" t="s">
        <v>1105</v>
      </c>
      <c r="G93" s="1" t="s">
        <v>963</v>
      </c>
      <c r="H93" s="2" t="s">
        <v>964</v>
      </c>
      <c r="I93" s="2" t="s">
        <v>1106</v>
      </c>
      <c r="J93" s="2" t="s">
        <v>1107</v>
      </c>
      <c r="K93" s="2" t="s">
        <v>1108</v>
      </c>
      <c r="L93" s="2" t="s">
        <v>1109</v>
      </c>
      <c r="M93" s="3">
        <v>719880</v>
      </c>
      <c r="N93" s="15">
        <v>45343</v>
      </c>
      <c r="O93" s="1">
        <v>55</v>
      </c>
      <c r="P93" s="1" t="s">
        <v>1110</v>
      </c>
      <c r="Q93" s="1" t="s">
        <v>35</v>
      </c>
      <c r="R93" s="1" t="s">
        <v>499</v>
      </c>
      <c r="S93" s="1" t="s">
        <v>970</v>
      </c>
      <c r="U93" s="1" t="s">
        <v>1111</v>
      </c>
      <c r="W93" s="1" t="s">
        <v>1011</v>
      </c>
    </row>
    <row r="94" spans="1:23" ht="24.95" customHeight="1" x14ac:dyDescent="0.25">
      <c r="A94" s="9">
        <f>SUBTOTAL(103,$F$1:F94)-1</f>
        <v>93</v>
      </c>
      <c r="B94" s="1" t="s">
        <v>1112</v>
      </c>
      <c r="C94" s="1" t="s">
        <v>1113</v>
      </c>
      <c r="E94" s="1" t="s">
        <v>1114</v>
      </c>
      <c r="F94" s="1" t="s">
        <v>1115</v>
      </c>
      <c r="G94" s="1" t="s">
        <v>721</v>
      </c>
      <c r="H94" s="2" t="s">
        <v>722</v>
      </c>
      <c r="I94" s="2" t="s">
        <v>1116</v>
      </c>
      <c r="J94" s="2" t="s">
        <v>1117</v>
      </c>
      <c r="K94" s="2" t="s">
        <v>1118</v>
      </c>
      <c r="L94" s="2" t="s">
        <v>1119</v>
      </c>
      <c r="M94" s="3">
        <v>1528319.42</v>
      </c>
      <c r="N94" s="15">
        <v>45343</v>
      </c>
      <c r="O94" s="1">
        <v>255</v>
      </c>
      <c r="P94" s="1" t="s">
        <v>1120</v>
      </c>
      <c r="Q94" s="1" t="s">
        <v>35</v>
      </c>
      <c r="R94" s="1" t="s">
        <v>224</v>
      </c>
      <c r="S94" s="1" t="s">
        <v>729</v>
      </c>
      <c r="U94" s="1" t="s">
        <v>1121</v>
      </c>
      <c r="W94" s="1" t="s">
        <v>39</v>
      </c>
    </row>
    <row r="95" spans="1:23" ht="24.95" customHeight="1" x14ac:dyDescent="0.25">
      <c r="A95" s="9">
        <f>SUBTOTAL(103,$F$1:F95)-1</f>
        <v>94</v>
      </c>
      <c r="B95" s="1" t="s">
        <v>1122</v>
      </c>
      <c r="C95" s="1" t="s">
        <v>1123</v>
      </c>
      <c r="D95" s="1" t="s">
        <v>1124</v>
      </c>
      <c r="E95" s="1" t="s">
        <v>1125</v>
      </c>
      <c r="F95" s="1" t="s">
        <v>1126</v>
      </c>
      <c r="G95" s="1" t="s">
        <v>1127</v>
      </c>
      <c r="H95" s="2" t="s">
        <v>1128</v>
      </c>
      <c r="I95" s="2" t="s">
        <v>1129</v>
      </c>
      <c r="J95" s="2" t="s">
        <v>1130</v>
      </c>
      <c r="K95" s="2" t="s">
        <v>1131</v>
      </c>
      <c r="L95" s="2" t="s">
        <v>1132</v>
      </c>
      <c r="M95" s="3">
        <v>6461193.8300000001</v>
      </c>
      <c r="N95" s="15">
        <v>45343</v>
      </c>
      <c r="O95" s="1">
        <v>4170</v>
      </c>
      <c r="P95" s="1" t="s">
        <v>1133</v>
      </c>
      <c r="Q95" s="1" t="s">
        <v>35</v>
      </c>
      <c r="R95" s="1" t="s">
        <v>1134</v>
      </c>
      <c r="S95" s="1" t="s">
        <v>1135</v>
      </c>
      <c r="U95" s="1" t="s">
        <v>1136</v>
      </c>
      <c r="W95" s="1" t="s">
        <v>39</v>
      </c>
    </row>
    <row r="96" spans="1:23" ht="24.95" customHeight="1" x14ac:dyDescent="0.25">
      <c r="A96" s="9">
        <f>SUBTOTAL(103,$F$1:F96)-1</f>
        <v>95</v>
      </c>
      <c r="B96" s="1" t="s">
        <v>1137</v>
      </c>
      <c r="C96" s="1" t="s">
        <v>1138</v>
      </c>
      <c r="E96" s="1" t="s">
        <v>1139</v>
      </c>
      <c r="F96" s="1" t="s">
        <v>1140</v>
      </c>
      <c r="G96" s="1" t="s">
        <v>1141</v>
      </c>
      <c r="H96" s="2" t="s">
        <v>1142</v>
      </c>
      <c r="I96" s="2" t="s">
        <v>1143</v>
      </c>
      <c r="J96" s="2" t="s">
        <v>1144</v>
      </c>
      <c r="K96" s="2" t="s">
        <v>1145</v>
      </c>
      <c r="L96" s="2" t="s">
        <v>1146</v>
      </c>
      <c r="M96" s="3">
        <v>726640.15</v>
      </c>
      <c r="N96" s="15">
        <v>45344</v>
      </c>
      <c r="O96" s="1">
        <v>9</v>
      </c>
      <c r="P96" s="1" t="s">
        <v>1147</v>
      </c>
      <c r="Q96" s="1" t="s">
        <v>35</v>
      </c>
      <c r="R96" s="1" t="s">
        <v>1148</v>
      </c>
      <c r="S96" s="1" t="s">
        <v>1149</v>
      </c>
      <c r="U96" s="1" t="s">
        <v>1150</v>
      </c>
      <c r="W96" s="1" t="s">
        <v>270</v>
      </c>
    </row>
    <row r="97" spans="1:23" ht="24.95" customHeight="1" x14ac:dyDescent="0.25">
      <c r="A97" s="9">
        <f>SUBTOTAL(103,$F$1:F97)-1</f>
        <v>96</v>
      </c>
      <c r="C97" s="1" t="s">
        <v>1151</v>
      </c>
      <c r="E97" s="1" t="s">
        <v>1152</v>
      </c>
      <c r="F97" s="1" t="s">
        <v>1153</v>
      </c>
      <c r="G97" s="1" t="s">
        <v>1154</v>
      </c>
      <c r="H97" s="2" t="s">
        <v>1155</v>
      </c>
      <c r="I97" s="2" t="s">
        <v>1156</v>
      </c>
      <c r="J97" s="2" t="s">
        <v>1157</v>
      </c>
      <c r="K97" s="2" t="s">
        <v>1158</v>
      </c>
      <c r="L97" s="2" t="s">
        <v>1159</v>
      </c>
      <c r="M97" s="3">
        <v>11507948</v>
      </c>
      <c r="N97" s="15">
        <v>45344</v>
      </c>
      <c r="O97" s="1">
        <v>25</v>
      </c>
      <c r="P97" s="1" t="s">
        <v>1160</v>
      </c>
      <c r="Q97" s="1" t="s">
        <v>35</v>
      </c>
      <c r="R97" s="1" t="s">
        <v>1161</v>
      </c>
      <c r="S97" s="1" t="s">
        <v>1162</v>
      </c>
      <c r="U97" s="1" t="s">
        <v>1163</v>
      </c>
      <c r="W97" s="1" t="s">
        <v>39</v>
      </c>
    </row>
    <row r="98" spans="1:23" ht="24.95" customHeight="1" x14ac:dyDescent="0.25">
      <c r="A98" s="9">
        <f>SUBTOTAL(103,$F$1:F98)-1</f>
        <v>97</v>
      </c>
      <c r="C98" s="1" t="s">
        <v>1164</v>
      </c>
      <c r="E98" s="1" t="s">
        <v>1165</v>
      </c>
      <c r="F98" s="1" t="s">
        <v>1166</v>
      </c>
      <c r="G98" s="1" t="s">
        <v>1167</v>
      </c>
      <c r="H98" s="2" t="s">
        <v>1168</v>
      </c>
      <c r="I98" s="2" t="s">
        <v>1169</v>
      </c>
      <c r="J98" s="2" t="s">
        <v>1170</v>
      </c>
      <c r="K98" s="2" t="s">
        <v>1171</v>
      </c>
      <c r="L98" s="2" t="s">
        <v>1172</v>
      </c>
      <c r="M98" s="3">
        <v>1281954.17</v>
      </c>
      <c r="N98" s="15">
        <v>45343</v>
      </c>
      <c r="O98" s="1">
        <v>2</v>
      </c>
      <c r="P98" s="1" t="s">
        <v>1173</v>
      </c>
      <c r="Q98" s="1" t="s">
        <v>35</v>
      </c>
      <c r="R98" s="1" t="s">
        <v>1174</v>
      </c>
      <c r="S98" s="1" t="s">
        <v>1175</v>
      </c>
      <c r="U98" s="1" t="s">
        <v>1176</v>
      </c>
      <c r="W98" s="1" t="s">
        <v>39</v>
      </c>
    </row>
    <row r="99" spans="1:23" ht="24.95" customHeight="1" x14ac:dyDescent="0.25">
      <c r="A99" s="9">
        <f>SUBTOTAL(103,$F$1:F99)-1</f>
        <v>98</v>
      </c>
      <c r="B99" s="1" t="s">
        <v>1177</v>
      </c>
      <c r="C99" s="1" t="s">
        <v>1178</v>
      </c>
      <c r="E99" s="1" t="s">
        <v>1179</v>
      </c>
      <c r="F99" s="1" t="s">
        <v>1180</v>
      </c>
      <c r="G99" s="1" t="s">
        <v>96</v>
      </c>
      <c r="H99" s="2" t="s">
        <v>97</v>
      </c>
      <c r="I99" s="2" t="s">
        <v>1181</v>
      </c>
      <c r="J99" s="2" t="s">
        <v>1182</v>
      </c>
      <c r="K99" s="2" t="s">
        <v>1183</v>
      </c>
      <c r="L99" s="2" t="s">
        <v>1184</v>
      </c>
      <c r="M99" s="3">
        <v>7747254.8499999996</v>
      </c>
      <c r="N99" s="15">
        <v>45344</v>
      </c>
      <c r="O99" s="1">
        <v>18</v>
      </c>
      <c r="P99" s="1" t="s">
        <v>1185</v>
      </c>
      <c r="Q99" s="1" t="s">
        <v>35</v>
      </c>
      <c r="R99" s="1" t="s">
        <v>1186</v>
      </c>
      <c r="S99" s="1" t="s">
        <v>104</v>
      </c>
      <c r="U99" s="1" t="s">
        <v>1187</v>
      </c>
      <c r="W99" s="1" t="s">
        <v>39</v>
      </c>
    </row>
    <row r="100" spans="1:23" ht="24.95" customHeight="1" x14ac:dyDescent="0.25">
      <c r="A100" s="9">
        <f>SUBTOTAL(103,$F$1:F100)-1</f>
        <v>99</v>
      </c>
      <c r="E100" s="1" t="s">
        <v>1188</v>
      </c>
      <c r="F100" s="1" t="s">
        <v>1189</v>
      </c>
      <c r="G100" s="1" t="s">
        <v>1190</v>
      </c>
      <c r="H100" s="2" t="s">
        <v>1191</v>
      </c>
      <c r="I100" s="2" t="s">
        <v>1192</v>
      </c>
      <c r="J100" s="2" t="s">
        <v>1193</v>
      </c>
      <c r="K100" s="2" t="s">
        <v>1194</v>
      </c>
      <c r="L100" s="2" t="s">
        <v>1195</v>
      </c>
      <c r="M100" s="3">
        <v>4546705.47</v>
      </c>
      <c r="N100" s="15">
        <v>45344</v>
      </c>
      <c r="O100" s="1">
        <v>1</v>
      </c>
      <c r="P100" s="1" t="s">
        <v>1196</v>
      </c>
      <c r="Q100" s="1" t="s">
        <v>35</v>
      </c>
      <c r="R100" s="1" t="s">
        <v>1197</v>
      </c>
      <c r="S100" s="1" t="s">
        <v>1198</v>
      </c>
      <c r="U100" s="1" t="s">
        <v>1199</v>
      </c>
      <c r="W100" s="1" t="s">
        <v>39</v>
      </c>
    </row>
    <row r="101" spans="1:23" ht="24.95" customHeight="1" x14ac:dyDescent="0.25">
      <c r="A101" s="9">
        <f>SUBTOTAL(103,$F$1:F101)-1</f>
        <v>100</v>
      </c>
      <c r="B101" s="1" t="s">
        <v>1200</v>
      </c>
      <c r="C101" s="1" t="s">
        <v>1201</v>
      </c>
      <c r="E101" s="1" t="s">
        <v>1202</v>
      </c>
      <c r="F101" s="1" t="s">
        <v>1203</v>
      </c>
      <c r="G101" s="1" t="s">
        <v>1204</v>
      </c>
      <c r="H101" s="2" t="s">
        <v>1205</v>
      </c>
      <c r="I101" s="2" t="s">
        <v>1206</v>
      </c>
      <c r="J101" s="2" t="s">
        <v>1207</v>
      </c>
      <c r="K101" s="2" t="s">
        <v>1208</v>
      </c>
      <c r="L101" s="2" t="s">
        <v>1209</v>
      </c>
      <c r="M101" s="3">
        <v>666306.89</v>
      </c>
      <c r="N101" s="15">
        <v>45343</v>
      </c>
      <c r="O101" s="1">
        <v>1716</v>
      </c>
      <c r="P101" s="1" t="s">
        <v>1210</v>
      </c>
      <c r="Q101" s="1" t="s">
        <v>35</v>
      </c>
      <c r="R101" s="1" t="s">
        <v>1211</v>
      </c>
      <c r="S101" s="1" t="s">
        <v>1212</v>
      </c>
      <c r="U101" s="1" t="s">
        <v>1213</v>
      </c>
      <c r="W101" s="1" t="s">
        <v>39</v>
      </c>
    </row>
    <row r="102" spans="1:23" ht="24.95" customHeight="1" x14ac:dyDescent="0.25">
      <c r="A102" s="9">
        <f>SUBTOTAL(103,$F$1:F102)-1</f>
        <v>101</v>
      </c>
      <c r="B102" s="1" t="s">
        <v>1214</v>
      </c>
      <c r="E102" s="1" t="s">
        <v>1215</v>
      </c>
      <c r="F102" s="1" t="s">
        <v>1216</v>
      </c>
      <c r="G102" s="1" t="s">
        <v>1217</v>
      </c>
      <c r="H102" s="2" t="s">
        <v>1218</v>
      </c>
      <c r="I102" s="2" t="s">
        <v>1219</v>
      </c>
      <c r="J102" s="2" t="s">
        <v>1220</v>
      </c>
      <c r="K102" s="2" t="s">
        <v>1221</v>
      </c>
      <c r="L102" s="2" t="s">
        <v>1222</v>
      </c>
      <c r="M102" s="3">
        <v>981160</v>
      </c>
      <c r="N102" s="15">
        <v>45343</v>
      </c>
      <c r="O102" s="1">
        <v>28</v>
      </c>
      <c r="P102" s="1" t="s">
        <v>1223</v>
      </c>
      <c r="Q102" s="1" t="s">
        <v>35</v>
      </c>
      <c r="R102" s="1" t="s">
        <v>159</v>
      </c>
      <c r="S102" s="1" t="s">
        <v>1217</v>
      </c>
      <c r="U102" s="1" t="s">
        <v>1224</v>
      </c>
      <c r="W102" s="1" t="s">
        <v>39</v>
      </c>
    </row>
    <row r="103" spans="1:23" ht="24.95" customHeight="1" x14ac:dyDescent="0.25">
      <c r="A103" s="9">
        <f>SUBTOTAL(103,$F$1:F103)-1</f>
        <v>102</v>
      </c>
      <c r="B103" s="1" t="s">
        <v>54</v>
      </c>
      <c r="C103" s="1" t="s">
        <v>55</v>
      </c>
      <c r="D103" s="1" t="s">
        <v>56</v>
      </c>
      <c r="E103" s="1" t="s">
        <v>1225</v>
      </c>
      <c r="F103" s="1" t="s">
        <v>1226</v>
      </c>
      <c r="G103" s="1" t="s">
        <v>1227</v>
      </c>
      <c r="H103" s="2" t="s">
        <v>1228</v>
      </c>
      <c r="I103" s="2" t="s">
        <v>61</v>
      </c>
      <c r="J103" s="2" t="s">
        <v>62</v>
      </c>
      <c r="K103" s="2" t="s">
        <v>63</v>
      </c>
      <c r="L103" s="2" t="s">
        <v>64</v>
      </c>
      <c r="M103" s="3">
        <v>1456640.54</v>
      </c>
      <c r="N103" s="15">
        <v>45343</v>
      </c>
      <c r="O103" s="1">
        <v>220465</v>
      </c>
      <c r="P103" s="1" t="s">
        <v>65</v>
      </c>
      <c r="Q103" s="1" t="s">
        <v>35</v>
      </c>
      <c r="R103" s="1" t="s">
        <v>66</v>
      </c>
      <c r="S103" s="1" t="s">
        <v>1229</v>
      </c>
      <c r="U103" s="1" t="s">
        <v>68</v>
      </c>
      <c r="W103" s="1" t="s">
        <v>39</v>
      </c>
    </row>
    <row r="104" spans="1:23" ht="24.95" customHeight="1" x14ac:dyDescent="0.25">
      <c r="A104" s="9">
        <f>SUBTOTAL(103,$F$1:F104)-1</f>
        <v>103</v>
      </c>
      <c r="E104" s="1" t="s">
        <v>1230</v>
      </c>
      <c r="F104" s="1" t="s">
        <v>1231</v>
      </c>
      <c r="G104" s="1" t="s">
        <v>1232</v>
      </c>
      <c r="H104" s="2" t="s">
        <v>1233</v>
      </c>
      <c r="I104" s="2" t="s">
        <v>1234</v>
      </c>
      <c r="J104" s="2" t="s">
        <v>1235</v>
      </c>
      <c r="K104" s="2" t="s">
        <v>1236</v>
      </c>
      <c r="L104" s="2" t="s">
        <v>1237</v>
      </c>
      <c r="M104" s="3">
        <v>1415833.88</v>
      </c>
      <c r="N104" s="15">
        <v>45343</v>
      </c>
      <c r="O104" s="1">
        <v>4</v>
      </c>
      <c r="P104" s="1" t="s">
        <v>1238</v>
      </c>
      <c r="Q104" s="1" t="s">
        <v>35</v>
      </c>
      <c r="R104" s="1" t="s">
        <v>1239</v>
      </c>
      <c r="S104" s="1" t="s">
        <v>1240</v>
      </c>
      <c r="U104" s="1" t="s">
        <v>1241</v>
      </c>
      <c r="W104" s="1" t="s">
        <v>420</v>
      </c>
    </row>
    <row r="105" spans="1:23" ht="24.95" customHeight="1" x14ac:dyDescent="0.25">
      <c r="A105" s="9">
        <f>SUBTOTAL(103,$F$1:F105)-1</f>
        <v>104</v>
      </c>
      <c r="B105" s="1" t="s">
        <v>54</v>
      </c>
      <c r="C105" s="1" t="s">
        <v>55</v>
      </c>
      <c r="D105" s="1" t="s">
        <v>56</v>
      </c>
      <c r="E105" s="1" t="s">
        <v>1242</v>
      </c>
      <c r="F105" s="1" t="s">
        <v>1243</v>
      </c>
      <c r="G105" s="1" t="s">
        <v>1244</v>
      </c>
      <c r="H105" s="2" t="s">
        <v>1245</v>
      </c>
      <c r="I105" s="2" t="s">
        <v>61</v>
      </c>
      <c r="J105" s="2" t="s">
        <v>62</v>
      </c>
      <c r="K105" s="2" t="s">
        <v>63</v>
      </c>
      <c r="L105" s="2" t="s">
        <v>64</v>
      </c>
      <c r="M105" s="3">
        <v>1603452.14</v>
      </c>
      <c r="N105" s="15">
        <v>45344</v>
      </c>
      <c r="O105" s="1">
        <v>220465</v>
      </c>
      <c r="P105" s="1" t="s">
        <v>65</v>
      </c>
      <c r="Q105" s="1" t="s">
        <v>35</v>
      </c>
      <c r="R105" s="1" t="s">
        <v>66</v>
      </c>
      <c r="S105" s="1" t="s">
        <v>1246</v>
      </c>
      <c r="U105" s="1" t="s">
        <v>68</v>
      </c>
      <c r="W105" s="1" t="s">
        <v>39</v>
      </c>
    </row>
    <row r="106" spans="1:23" ht="24.95" customHeight="1" x14ac:dyDescent="0.25">
      <c r="A106" s="9">
        <f>SUBTOTAL(103,$F$1:F106)-1</f>
        <v>105</v>
      </c>
      <c r="B106" s="1" t="s">
        <v>133</v>
      </c>
      <c r="C106" s="1" t="s">
        <v>134</v>
      </c>
      <c r="D106" s="1" t="s">
        <v>135</v>
      </c>
      <c r="E106" s="1" t="s">
        <v>1247</v>
      </c>
      <c r="F106" s="1" t="s">
        <v>1248</v>
      </c>
      <c r="G106" s="1" t="s">
        <v>1249</v>
      </c>
      <c r="H106" s="2" t="s">
        <v>1250</v>
      </c>
      <c r="I106" s="2" t="s">
        <v>96</v>
      </c>
      <c r="J106" s="2" t="s">
        <v>97</v>
      </c>
      <c r="K106" s="2" t="s">
        <v>140</v>
      </c>
      <c r="L106" s="2" t="s">
        <v>141</v>
      </c>
      <c r="M106" s="3">
        <v>3312401.15</v>
      </c>
      <c r="N106" s="15">
        <v>45344</v>
      </c>
      <c r="O106" s="1">
        <v>72549</v>
      </c>
      <c r="P106" s="1" t="s">
        <v>142</v>
      </c>
      <c r="Q106" s="1" t="s">
        <v>35</v>
      </c>
      <c r="R106" s="1" t="s">
        <v>143</v>
      </c>
      <c r="S106" s="1" t="s">
        <v>1251</v>
      </c>
      <c r="U106" s="1" t="s">
        <v>104</v>
      </c>
      <c r="W106" s="1" t="s">
        <v>39</v>
      </c>
    </row>
    <row r="107" spans="1:23" ht="24.95" customHeight="1" x14ac:dyDescent="0.25">
      <c r="A107" s="9">
        <f>SUBTOTAL(103,$F$1:F107)-1</f>
        <v>106</v>
      </c>
      <c r="B107" s="1" t="s">
        <v>1252</v>
      </c>
      <c r="C107" s="1" t="s">
        <v>1253</v>
      </c>
      <c r="D107" s="1" t="s">
        <v>1254</v>
      </c>
      <c r="E107" s="1" t="s">
        <v>1255</v>
      </c>
      <c r="F107" s="1" t="s">
        <v>1256</v>
      </c>
      <c r="G107" s="1" t="s">
        <v>1257</v>
      </c>
      <c r="H107" s="2" t="s">
        <v>1258</v>
      </c>
      <c r="I107" s="2" t="s">
        <v>1259</v>
      </c>
      <c r="J107" s="2" t="s">
        <v>1260</v>
      </c>
      <c r="K107" s="2" t="s">
        <v>1261</v>
      </c>
      <c r="L107" s="2" t="s">
        <v>1262</v>
      </c>
      <c r="M107" s="3">
        <v>500003.28</v>
      </c>
      <c r="N107" s="15">
        <v>45344</v>
      </c>
      <c r="O107" s="1">
        <v>14</v>
      </c>
      <c r="P107" s="1" t="s">
        <v>1263</v>
      </c>
      <c r="Q107" s="1" t="s">
        <v>35</v>
      </c>
      <c r="R107" s="1" t="s">
        <v>224</v>
      </c>
      <c r="S107" s="1" t="s">
        <v>1264</v>
      </c>
      <c r="U107" s="1" t="s">
        <v>1265</v>
      </c>
      <c r="W107" s="1" t="s">
        <v>270</v>
      </c>
    </row>
    <row r="108" spans="1:23" ht="24.95" customHeight="1" x14ac:dyDescent="0.25">
      <c r="A108" s="9">
        <f>SUBTOTAL(103,$F$1:F108)-1</f>
        <v>107</v>
      </c>
      <c r="B108" s="1" t="s">
        <v>1266</v>
      </c>
      <c r="C108" s="1" t="s">
        <v>1267</v>
      </c>
      <c r="E108" s="1" t="s">
        <v>1268</v>
      </c>
      <c r="F108" s="1" t="s">
        <v>1269</v>
      </c>
      <c r="G108" s="1" t="s">
        <v>1270</v>
      </c>
      <c r="H108" s="2" t="s">
        <v>1271</v>
      </c>
      <c r="I108" s="2" t="s">
        <v>1272</v>
      </c>
      <c r="J108" s="2" t="s">
        <v>1273</v>
      </c>
      <c r="K108" s="2" t="s">
        <v>1274</v>
      </c>
      <c r="L108" s="2" t="s">
        <v>1275</v>
      </c>
      <c r="M108" s="3">
        <v>540514.88</v>
      </c>
      <c r="N108" s="15">
        <v>45344</v>
      </c>
      <c r="O108" s="1">
        <v>478</v>
      </c>
      <c r="P108" s="1" t="s">
        <v>1276</v>
      </c>
      <c r="Q108" s="1" t="s">
        <v>35</v>
      </c>
      <c r="R108" s="1" t="s">
        <v>1277</v>
      </c>
      <c r="S108" s="1" t="s">
        <v>1278</v>
      </c>
      <c r="U108" s="1" t="s">
        <v>1279</v>
      </c>
      <c r="W108" s="1" t="s">
        <v>39</v>
      </c>
    </row>
    <row r="109" spans="1:23" ht="24.95" customHeight="1" x14ac:dyDescent="0.25">
      <c r="A109" s="9">
        <f>SUBTOTAL(103,$F$1:F109)-1</f>
        <v>108</v>
      </c>
      <c r="B109" s="1" t="s">
        <v>1280</v>
      </c>
      <c r="C109" s="1" t="s">
        <v>1281</v>
      </c>
      <c r="E109" s="1" t="s">
        <v>1282</v>
      </c>
      <c r="F109" s="1" t="s">
        <v>1283</v>
      </c>
      <c r="G109" s="1" t="s">
        <v>1284</v>
      </c>
      <c r="H109" s="2" t="s">
        <v>1285</v>
      </c>
      <c r="I109" s="2" t="s">
        <v>1286</v>
      </c>
      <c r="J109" s="2" t="s">
        <v>1287</v>
      </c>
      <c r="K109" s="2" t="s">
        <v>1288</v>
      </c>
      <c r="L109" s="2" t="s">
        <v>1289</v>
      </c>
      <c r="M109" s="3">
        <v>20063282.52</v>
      </c>
      <c r="N109" s="15">
        <v>45344</v>
      </c>
      <c r="O109" s="1">
        <v>136</v>
      </c>
      <c r="P109" s="1" t="s">
        <v>1290</v>
      </c>
      <c r="Q109" s="1" t="s">
        <v>35</v>
      </c>
      <c r="R109" s="1" t="s">
        <v>1291</v>
      </c>
      <c r="S109" s="1" t="s">
        <v>1292</v>
      </c>
      <c r="U109" s="1" t="s">
        <v>1293</v>
      </c>
      <c r="W109" s="1" t="s">
        <v>39</v>
      </c>
    </row>
    <row r="110" spans="1:23" ht="24.95" customHeight="1" x14ac:dyDescent="0.25">
      <c r="A110" s="9">
        <f>SUBTOTAL(103,$F$1:F110)-1</f>
        <v>109</v>
      </c>
      <c r="B110" s="1" t="s">
        <v>1294</v>
      </c>
      <c r="C110" s="1" t="s">
        <v>1295</v>
      </c>
      <c r="D110" s="1" t="s">
        <v>1296</v>
      </c>
      <c r="E110" s="1" t="s">
        <v>1297</v>
      </c>
      <c r="F110" s="1" t="s">
        <v>1298</v>
      </c>
      <c r="G110" s="1" t="s">
        <v>1299</v>
      </c>
      <c r="H110" s="2" t="s">
        <v>1300</v>
      </c>
      <c r="I110" s="2" t="s">
        <v>1301</v>
      </c>
      <c r="J110" s="2" t="s">
        <v>1302</v>
      </c>
      <c r="K110" s="2" t="s">
        <v>1303</v>
      </c>
      <c r="L110" s="2" t="s">
        <v>1304</v>
      </c>
      <c r="M110" s="3">
        <v>521041.68</v>
      </c>
      <c r="N110" s="15">
        <v>45344</v>
      </c>
      <c r="O110" s="1">
        <v>115802</v>
      </c>
      <c r="P110" s="1" t="s">
        <v>1305</v>
      </c>
      <c r="Q110" s="1" t="s">
        <v>35</v>
      </c>
      <c r="R110" s="1" t="s">
        <v>1306</v>
      </c>
      <c r="S110" s="1" t="s">
        <v>1299</v>
      </c>
      <c r="U110" s="1" t="s">
        <v>1307</v>
      </c>
      <c r="W110" s="1" t="s">
        <v>39</v>
      </c>
    </row>
    <row r="111" spans="1:23" ht="24.95" customHeight="1" x14ac:dyDescent="0.25">
      <c r="A111" s="9">
        <f>SUBTOTAL(103,$F$1:F111)-1</f>
        <v>110</v>
      </c>
      <c r="E111" s="1" t="s">
        <v>1308</v>
      </c>
      <c r="F111" s="1" t="s">
        <v>1309</v>
      </c>
      <c r="G111" s="1" t="s">
        <v>1232</v>
      </c>
      <c r="H111" s="2" t="s">
        <v>1233</v>
      </c>
      <c r="I111" s="2" t="s">
        <v>1310</v>
      </c>
      <c r="J111" s="2" t="s">
        <v>1311</v>
      </c>
      <c r="K111" s="2" t="s">
        <v>1312</v>
      </c>
      <c r="M111" s="3">
        <v>618355.43999999994</v>
      </c>
      <c r="N111" s="15">
        <v>45344</v>
      </c>
      <c r="O111" s="1">
        <v>1</v>
      </c>
      <c r="P111" s="1" t="s">
        <v>1313</v>
      </c>
      <c r="Q111" s="1" t="s">
        <v>35</v>
      </c>
      <c r="R111" s="1" t="s">
        <v>1314</v>
      </c>
      <c r="S111" s="1" t="s">
        <v>1240</v>
      </c>
      <c r="U111" s="1" t="s">
        <v>1310</v>
      </c>
      <c r="W111" s="1" t="s">
        <v>270</v>
      </c>
    </row>
    <row r="112" spans="1:23" ht="24.95" customHeight="1" x14ac:dyDescent="0.25">
      <c r="A112" s="9">
        <f>SUBTOTAL(103,$F$1:F112)-1</f>
        <v>111</v>
      </c>
      <c r="E112" s="1" t="s">
        <v>1315</v>
      </c>
      <c r="F112" s="1" t="s">
        <v>1316</v>
      </c>
      <c r="G112" s="1" t="s">
        <v>1317</v>
      </c>
      <c r="H112" s="2" t="s">
        <v>1318</v>
      </c>
      <c r="I112" s="2" t="s">
        <v>1319</v>
      </c>
      <c r="J112" s="2" t="s">
        <v>1320</v>
      </c>
      <c r="K112" s="2" t="s">
        <v>1321</v>
      </c>
      <c r="M112" s="3">
        <v>525678.69999999995</v>
      </c>
      <c r="N112" s="15">
        <v>45344</v>
      </c>
      <c r="O112" s="1">
        <v>2</v>
      </c>
      <c r="P112" s="1" t="s">
        <v>1322</v>
      </c>
      <c r="Q112" s="1" t="s">
        <v>35</v>
      </c>
      <c r="R112" s="1" t="s">
        <v>1323</v>
      </c>
      <c r="S112" s="1" t="s">
        <v>1324</v>
      </c>
      <c r="U112" s="1" t="s">
        <v>1319</v>
      </c>
      <c r="W112" s="1" t="s">
        <v>39</v>
      </c>
    </row>
    <row r="113" spans="1:23" ht="24.95" customHeight="1" x14ac:dyDescent="0.25">
      <c r="A113" s="9">
        <f>SUBTOTAL(103,$F$1:F113)-1</f>
        <v>112</v>
      </c>
      <c r="B113" s="1" t="s">
        <v>1325</v>
      </c>
      <c r="C113" s="1" t="s">
        <v>1326</v>
      </c>
      <c r="D113" s="1" t="s">
        <v>1327</v>
      </c>
      <c r="E113" s="1" t="s">
        <v>1328</v>
      </c>
      <c r="F113" s="1" t="s">
        <v>1329</v>
      </c>
      <c r="G113" s="1" t="s">
        <v>1330</v>
      </c>
      <c r="H113" s="2" t="s">
        <v>1331</v>
      </c>
      <c r="I113" s="2" t="s">
        <v>1332</v>
      </c>
      <c r="J113" s="2" t="s">
        <v>1333</v>
      </c>
      <c r="K113" s="2" t="s">
        <v>1334</v>
      </c>
      <c r="L113" s="2" t="s">
        <v>1335</v>
      </c>
      <c r="M113" s="3">
        <v>6961498.6200000001</v>
      </c>
      <c r="N113" s="15">
        <v>45344</v>
      </c>
      <c r="O113" s="1">
        <v>551</v>
      </c>
      <c r="P113" s="1" t="s">
        <v>1336</v>
      </c>
      <c r="Q113" s="1" t="s">
        <v>35</v>
      </c>
      <c r="R113" s="1" t="s">
        <v>1337</v>
      </c>
      <c r="S113" s="1" t="s">
        <v>1338</v>
      </c>
      <c r="U113" s="1" t="s">
        <v>1339</v>
      </c>
      <c r="W113" s="1" t="s">
        <v>39</v>
      </c>
    </row>
    <row r="114" spans="1:23" ht="24.95" customHeight="1" x14ac:dyDescent="0.25">
      <c r="A114" s="9">
        <f>SUBTOTAL(103,$F$1:F114)-1</f>
        <v>113</v>
      </c>
      <c r="B114" s="1" t="s">
        <v>1340</v>
      </c>
      <c r="C114" s="1" t="s">
        <v>1341</v>
      </c>
      <c r="E114" s="1" t="s">
        <v>1342</v>
      </c>
      <c r="F114" s="1" t="s">
        <v>1343</v>
      </c>
      <c r="G114" s="1" t="s">
        <v>61</v>
      </c>
      <c r="H114" s="2" t="s">
        <v>62</v>
      </c>
      <c r="I114" s="2" t="s">
        <v>1344</v>
      </c>
      <c r="J114" s="2" t="s">
        <v>1345</v>
      </c>
      <c r="K114" s="2" t="s">
        <v>1346</v>
      </c>
      <c r="L114" s="2" t="s">
        <v>1347</v>
      </c>
      <c r="M114" s="3">
        <v>7778695.71</v>
      </c>
      <c r="N114" s="15">
        <v>45344</v>
      </c>
      <c r="O114" s="1">
        <v>25</v>
      </c>
      <c r="P114" s="1" t="s">
        <v>1348</v>
      </c>
      <c r="Q114" s="1" t="s">
        <v>35</v>
      </c>
      <c r="R114" s="1" t="s">
        <v>1349</v>
      </c>
      <c r="S114" s="1" t="s">
        <v>68</v>
      </c>
      <c r="U114" s="1" t="s">
        <v>1350</v>
      </c>
      <c r="W114" s="1" t="s">
        <v>39</v>
      </c>
    </row>
    <row r="115" spans="1:23" ht="24.95" customHeight="1" x14ac:dyDescent="0.25">
      <c r="A115" s="9">
        <f>SUBTOTAL(103,$F$1:F115)-1</f>
        <v>114</v>
      </c>
      <c r="E115" s="1" t="s">
        <v>1351</v>
      </c>
      <c r="F115" s="1" t="s">
        <v>1352</v>
      </c>
      <c r="G115" s="1" t="s">
        <v>1353</v>
      </c>
      <c r="H115" s="2" t="s">
        <v>1354</v>
      </c>
      <c r="I115" s="2" t="s">
        <v>1355</v>
      </c>
      <c r="J115" s="2" t="s">
        <v>1356</v>
      </c>
      <c r="K115" s="2" t="s">
        <v>1357</v>
      </c>
      <c r="L115" s="2" t="s">
        <v>1358</v>
      </c>
      <c r="M115" s="3">
        <v>787025.25</v>
      </c>
      <c r="N115" s="15">
        <v>45344</v>
      </c>
      <c r="O115" s="1">
        <v>18</v>
      </c>
      <c r="P115" s="1" t="s">
        <v>1359</v>
      </c>
      <c r="Q115" s="1" t="s">
        <v>35</v>
      </c>
      <c r="R115" s="1" t="s">
        <v>389</v>
      </c>
      <c r="S115" s="1" t="s">
        <v>1353</v>
      </c>
      <c r="U115" s="1" t="s">
        <v>1360</v>
      </c>
      <c r="W115" s="1" t="s">
        <v>39</v>
      </c>
    </row>
    <row r="116" spans="1:23" ht="24.95" customHeight="1" x14ac:dyDescent="0.25">
      <c r="A116" s="9">
        <f>SUBTOTAL(103,$F$1:F116)-1</f>
        <v>115</v>
      </c>
      <c r="B116" s="1" t="s">
        <v>54</v>
      </c>
      <c r="C116" s="1" t="s">
        <v>55</v>
      </c>
      <c r="D116" s="1" t="s">
        <v>56</v>
      </c>
      <c r="E116" s="1" t="s">
        <v>1361</v>
      </c>
      <c r="F116" s="1" t="s">
        <v>1362</v>
      </c>
      <c r="G116" s="1" t="s">
        <v>1363</v>
      </c>
      <c r="H116" s="2" t="s">
        <v>1364</v>
      </c>
      <c r="I116" s="2" t="s">
        <v>61</v>
      </c>
      <c r="J116" s="2" t="s">
        <v>62</v>
      </c>
      <c r="K116" s="2" t="s">
        <v>63</v>
      </c>
      <c r="L116" s="2" t="s">
        <v>64</v>
      </c>
      <c r="M116" s="3">
        <v>2507506</v>
      </c>
      <c r="N116" s="15">
        <v>45344</v>
      </c>
      <c r="O116" s="1">
        <v>220467</v>
      </c>
      <c r="P116" s="1" t="s">
        <v>65</v>
      </c>
      <c r="Q116" s="1" t="s">
        <v>35</v>
      </c>
      <c r="R116" s="1" t="s">
        <v>66</v>
      </c>
      <c r="S116" s="1" t="s">
        <v>1365</v>
      </c>
      <c r="U116" s="1" t="s">
        <v>68</v>
      </c>
      <c r="W116" s="1" t="s">
        <v>39</v>
      </c>
    </row>
    <row r="117" spans="1:23" ht="24.95" customHeight="1" x14ac:dyDescent="0.25">
      <c r="A117" s="9">
        <f>SUBTOTAL(103,$F$1:F117)-1</f>
        <v>116</v>
      </c>
      <c r="B117" s="1" t="s">
        <v>1366</v>
      </c>
      <c r="C117" s="1" t="s">
        <v>1367</v>
      </c>
      <c r="E117" s="1" t="s">
        <v>1368</v>
      </c>
      <c r="F117" s="1" t="s">
        <v>1369</v>
      </c>
      <c r="G117" s="1" t="s">
        <v>1370</v>
      </c>
      <c r="H117" s="2" t="s">
        <v>1371</v>
      </c>
      <c r="I117" s="2" t="s">
        <v>1372</v>
      </c>
      <c r="J117" s="2" t="s">
        <v>1373</v>
      </c>
      <c r="K117" s="2" t="s">
        <v>1374</v>
      </c>
      <c r="L117" s="2" t="s">
        <v>1375</v>
      </c>
      <c r="M117" s="3">
        <v>2229614.5699999998</v>
      </c>
      <c r="N117" s="15">
        <v>45344</v>
      </c>
      <c r="O117" s="1">
        <v>2</v>
      </c>
      <c r="P117" s="1" t="s">
        <v>1376</v>
      </c>
      <c r="Q117" s="1" t="s">
        <v>35</v>
      </c>
      <c r="R117" s="1" t="s">
        <v>1377</v>
      </c>
      <c r="S117" s="1" t="s">
        <v>1378</v>
      </c>
      <c r="U117" s="1" t="s">
        <v>1379</v>
      </c>
      <c r="W117" s="1" t="s">
        <v>39</v>
      </c>
    </row>
    <row r="118" spans="1:23" ht="24.95" customHeight="1" x14ac:dyDescent="0.25">
      <c r="A118" s="9">
        <f>SUBTOTAL(103,$F$1:F118)-1</f>
        <v>117</v>
      </c>
      <c r="B118" s="1" t="s">
        <v>1380</v>
      </c>
      <c r="C118" s="1" t="s">
        <v>1381</v>
      </c>
      <c r="D118" s="1" t="s">
        <v>1382</v>
      </c>
      <c r="E118" s="1" t="s">
        <v>1383</v>
      </c>
      <c r="F118" s="1" t="s">
        <v>1384</v>
      </c>
      <c r="G118" s="1" t="s">
        <v>1385</v>
      </c>
      <c r="H118" s="2" t="s">
        <v>1386</v>
      </c>
      <c r="I118" s="2" t="s">
        <v>1387</v>
      </c>
      <c r="J118" s="2" t="s">
        <v>1388</v>
      </c>
      <c r="K118" s="2" t="s">
        <v>1389</v>
      </c>
      <c r="M118" s="3">
        <v>675829.72</v>
      </c>
      <c r="N118" s="15">
        <v>45344</v>
      </c>
      <c r="O118" s="1">
        <v>8914</v>
      </c>
      <c r="P118" s="1" t="s">
        <v>1390</v>
      </c>
      <c r="Q118" s="1" t="s">
        <v>35</v>
      </c>
      <c r="R118" s="1" t="s">
        <v>1391</v>
      </c>
      <c r="S118" s="1" t="s">
        <v>1392</v>
      </c>
      <c r="U118" s="1" t="s">
        <v>1393</v>
      </c>
      <c r="W118" s="1" t="s">
        <v>39</v>
      </c>
    </row>
    <row r="119" spans="1:23" ht="24.95" customHeight="1" x14ac:dyDescent="0.25">
      <c r="A119" s="9">
        <f>SUBTOTAL(103,$F$1:F119)-1</f>
        <v>118</v>
      </c>
      <c r="E119" s="1" t="s">
        <v>1394</v>
      </c>
      <c r="F119" s="1" t="s">
        <v>1395</v>
      </c>
      <c r="G119" s="1" t="s">
        <v>425</v>
      </c>
      <c r="H119" s="2" t="s">
        <v>426</v>
      </c>
      <c r="I119" s="2" t="s">
        <v>1396</v>
      </c>
      <c r="J119" s="2" t="s">
        <v>1397</v>
      </c>
      <c r="K119" s="2" t="s">
        <v>1398</v>
      </c>
      <c r="L119" s="2" t="s">
        <v>1397</v>
      </c>
      <c r="M119" s="3">
        <v>317215402.44999999</v>
      </c>
      <c r="N119" s="15">
        <v>45344</v>
      </c>
      <c r="O119" s="1">
        <v>54</v>
      </c>
      <c r="P119" s="1" t="s">
        <v>1399</v>
      </c>
      <c r="Q119" s="1" t="s">
        <v>35</v>
      </c>
      <c r="S119" s="1" t="s">
        <v>433</v>
      </c>
      <c r="U119" s="1" t="s">
        <v>1396</v>
      </c>
      <c r="W119" s="1" t="s">
        <v>39</v>
      </c>
    </row>
    <row r="120" spans="1:23" ht="24.95" customHeight="1" x14ac:dyDescent="0.25">
      <c r="A120" s="9">
        <f>SUBTOTAL(103,$F$1:F120)-1</f>
        <v>119</v>
      </c>
      <c r="B120" s="1" t="s">
        <v>1400</v>
      </c>
      <c r="C120" s="1" t="s">
        <v>1401</v>
      </c>
      <c r="E120" s="1" t="s">
        <v>1402</v>
      </c>
      <c r="F120" s="1" t="s">
        <v>1403</v>
      </c>
      <c r="G120" s="1" t="s">
        <v>1404</v>
      </c>
      <c r="H120" s="2" t="s">
        <v>1405</v>
      </c>
      <c r="I120" s="2" t="s">
        <v>1406</v>
      </c>
      <c r="J120" s="2" t="s">
        <v>1407</v>
      </c>
      <c r="K120" s="2" t="s">
        <v>1408</v>
      </c>
      <c r="L120" s="2" t="s">
        <v>1409</v>
      </c>
      <c r="M120" s="3">
        <v>505561.4</v>
      </c>
      <c r="N120" s="15">
        <v>45344</v>
      </c>
      <c r="O120" s="1">
        <v>325</v>
      </c>
      <c r="P120" s="1" t="s">
        <v>1410</v>
      </c>
      <c r="Q120" s="1" t="s">
        <v>35</v>
      </c>
      <c r="R120" s="1" t="s">
        <v>224</v>
      </c>
      <c r="S120" s="1" t="s">
        <v>1411</v>
      </c>
      <c r="U120" s="1" t="s">
        <v>1412</v>
      </c>
      <c r="W120" s="1" t="s">
        <v>39</v>
      </c>
    </row>
    <row r="121" spans="1:23" ht="24.95" customHeight="1" x14ac:dyDescent="0.25">
      <c r="A121" s="9">
        <f>SUBTOTAL(103,$F$1:F121)-1</f>
        <v>120</v>
      </c>
      <c r="B121" s="1" t="s">
        <v>1413</v>
      </c>
      <c r="C121" s="1" t="s">
        <v>1414</v>
      </c>
      <c r="E121" s="1" t="s">
        <v>1415</v>
      </c>
      <c r="F121" s="1" t="s">
        <v>1416</v>
      </c>
      <c r="G121" s="1" t="s">
        <v>1417</v>
      </c>
      <c r="H121" s="2" t="s">
        <v>1418</v>
      </c>
      <c r="I121" s="2" t="s">
        <v>1419</v>
      </c>
      <c r="J121" s="2" t="s">
        <v>1420</v>
      </c>
      <c r="K121" s="2" t="s">
        <v>1421</v>
      </c>
      <c r="M121" s="3">
        <v>1366247.76</v>
      </c>
      <c r="N121" s="15">
        <v>45344</v>
      </c>
      <c r="O121" s="1">
        <v>3528</v>
      </c>
      <c r="P121" s="1" t="s">
        <v>1422</v>
      </c>
      <c r="Q121" s="1" t="s">
        <v>35</v>
      </c>
      <c r="R121" s="1" t="s">
        <v>1391</v>
      </c>
      <c r="S121" s="1" t="s">
        <v>1423</v>
      </c>
      <c r="U121" s="1" t="s">
        <v>1424</v>
      </c>
      <c r="W121" s="1" t="s">
        <v>39</v>
      </c>
    </row>
    <row r="122" spans="1:23" ht="24.95" customHeight="1" x14ac:dyDescent="0.25">
      <c r="A122" s="9">
        <f>SUBTOTAL(103,$F$1:F122)-1</f>
        <v>121</v>
      </c>
      <c r="B122" s="1" t="s">
        <v>1425</v>
      </c>
      <c r="C122" s="1" t="s">
        <v>1426</v>
      </c>
      <c r="E122" s="1" t="s">
        <v>1427</v>
      </c>
      <c r="F122" s="1" t="s">
        <v>1428</v>
      </c>
      <c r="G122" s="1" t="s">
        <v>1429</v>
      </c>
      <c r="H122" s="2" t="s">
        <v>1430</v>
      </c>
      <c r="I122" s="2" t="s">
        <v>1431</v>
      </c>
      <c r="J122" s="2" t="s">
        <v>1432</v>
      </c>
      <c r="K122" s="2" t="s">
        <v>1433</v>
      </c>
      <c r="L122" s="2" t="s">
        <v>1434</v>
      </c>
      <c r="M122" s="3">
        <v>904379.2</v>
      </c>
      <c r="N122" s="15">
        <v>45344</v>
      </c>
      <c r="O122" s="1">
        <v>9</v>
      </c>
      <c r="P122" s="1" t="s">
        <v>1435</v>
      </c>
      <c r="Q122" s="1" t="s">
        <v>35</v>
      </c>
      <c r="R122" s="1" t="s">
        <v>1436</v>
      </c>
      <c r="S122" s="1" t="s">
        <v>1437</v>
      </c>
      <c r="U122" s="1" t="s">
        <v>1438</v>
      </c>
      <c r="W122" s="1" t="s">
        <v>39</v>
      </c>
    </row>
    <row r="123" spans="1:23" ht="24.95" customHeight="1" x14ac:dyDescent="0.25">
      <c r="A123" s="9">
        <f>SUBTOTAL(103,$F$1:F123)-1</f>
        <v>122</v>
      </c>
      <c r="B123" s="1" t="s">
        <v>1439</v>
      </c>
      <c r="C123" s="1" t="s">
        <v>1440</v>
      </c>
      <c r="E123" s="1" t="s">
        <v>1441</v>
      </c>
      <c r="F123" s="1" t="s">
        <v>1442</v>
      </c>
      <c r="G123" s="1" t="s">
        <v>1443</v>
      </c>
      <c r="H123" s="2" t="s">
        <v>1444</v>
      </c>
      <c r="I123" s="2" t="s">
        <v>1445</v>
      </c>
      <c r="J123" s="2" t="s">
        <v>1446</v>
      </c>
      <c r="K123" s="2" t="s">
        <v>1447</v>
      </c>
      <c r="L123" s="2" t="s">
        <v>1448</v>
      </c>
      <c r="M123" s="3">
        <v>1827445</v>
      </c>
      <c r="N123" s="15">
        <v>45344</v>
      </c>
      <c r="O123" s="1">
        <v>917</v>
      </c>
      <c r="P123" s="1" t="s">
        <v>1449</v>
      </c>
      <c r="Q123" s="1" t="s">
        <v>35</v>
      </c>
      <c r="R123" s="1" t="s">
        <v>1306</v>
      </c>
      <c r="S123" s="1" t="s">
        <v>1450</v>
      </c>
      <c r="U123" s="1" t="s">
        <v>1451</v>
      </c>
      <c r="W123" s="1" t="s">
        <v>39</v>
      </c>
    </row>
    <row r="124" spans="1:23" ht="24.95" customHeight="1" x14ac:dyDescent="0.25">
      <c r="A124" s="9">
        <f>SUBTOTAL(103,$F$1:F124)-1</f>
        <v>123</v>
      </c>
      <c r="E124" s="1" t="s">
        <v>1452</v>
      </c>
      <c r="F124" s="1" t="s">
        <v>1453</v>
      </c>
      <c r="G124" s="1" t="s">
        <v>1454</v>
      </c>
      <c r="H124" s="2" t="s">
        <v>1455</v>
      </c>
      <c r="I124" s="2" t="s">
        <v>1456</v>
      </c>
      <c r="J124" s="2" t="s">
        <v>1457</v>
      </c>
      <c r="K124" s="2" t="s">
        <v>1458</v>
      </c>
      <c r="L124" s="2" t="s">
        <v>1459</v>
      </c>
      <c r="M124" s="3">
        <v>3770331.18</v>
      </c>
      <c r="N124" s="15">
        <v>45344</v>
      </c>
      <c r="O124" s="1">
        <v>28</v>
      </c>
      <c r="P124" s="1" t="s">
        <v>1460</v>
      </c>
      <c r="Q124" s="1" t="s">
        <v>35</v>
      </c>
      <c r="R124" s="1" t="s">
        <v>224</v>
      </c>
      <c r="S124" s="1" t="s">
        <v>1461</v>
      </c>
      <c r="U124" s="1" t="s">
        <v>1462</v>
      </c>
      <c r="W124" s="1" t="s">
        <v>39</v>
      </c>
    </row>
    <row r="125" spans="1:23" ht="24.95" customHeight="1" x14ac:dyDescent="0.25">
      <c r="A125" s="9">
        <f>SUBTOTAL(103,$F$1:F125)-1</f>
        <v>124</v>
      </c>
      <c r="E125" s="1" t="s">
        <v>1463</v>
      </c>
      <c r="F125" s="1" t="s">
        <v>1464</v>
      </c>
      <c r="G125" s="1" t="s">
        <v>1465</v>
      </c>
      <c r="H125" s="2" t="s">
        <v>1466</v>
      </c>
      <c r="I125" s="2" t="s">
        <v>1467</v>
      </c>
      <c r="J125" s="2" t="s">
        <v>1468</v>
      </c>
      <c r="K125" s="2" t="s">
        <v>1469</v>
      </c>
      <c r="M125" s="3">
        <v>2285223.2000000002</v>
      </c>
      <c r="N125" s="15">
        <v>45344</v>
      </c>
      <c r="O125" s="1">
        <v>2</v>
      </c>
      <c r="P125" s="1" t="s">
        <v>1470</v>
      </c>
      <c r="Q125" s="1" t="s">
        <v>35</v>
      </c>
      <c r="R125" s="1" t="s">
        <v>690</v>
      </c>
      <c r="S125" s="1" t="s">
        <v>1471</v>
      </c>
      <c r="U125" s="1" t="s">
        <v>1467</v>
      </c>
      <c r="W125" s="1" t="s">
        <v>39</v>
      </c>
    </row>
    <row r="126" spans="1:23" ht="24.95" customHeight="1" x14ac:dyDescent="0.25">
      <c r="A126" s="9">
        <f>SUBTOTAL(103,$F$1:F126)-1</f>
        <v>125</v>
      </c>
      <c r="C126" s="1" t="s">
        <v>1472</v>
      </c>
      <c r="E126" s="1" t="s">
        <v>1473</v>
      </c>
      <c r="F126" s="1" t="s">
        <v>1474</v>
      </c>
      <c r="G126" s="1" t="s">
        <v>1232</v>
      </c>
      <c r="H126" s="2" t="s">
        <v>1233</v>
      </c>
      <c r="I126" s="2" t="s">
        <v>1475</v>
      </c>
      <c r="J126" s="2" t="s">
        <v>1476</v>
      </c>
      <c r="K126" s="2" t="s">
        <v>1477</v>
      </c>
      <c r="L126" s="2" t="s">
        <v>1478</v>
      </c>
      <c r="M126" s="3">
        <v>725282.16</v>
      </c>
      <c r="N126" s="15">
        <v>45344</v>
      </c>
      <c r="O126" s="1">
        <v>4</v>
      </c>
      <c r="P126" s="1" t="s">
        <v>1479</v>
      </c>
      <c r="Q126" s="1" t="s">
        <v>35</v>
      </c>
      <c r="R126" s="1" t="s">
        <v>1480</v>
      </c>
      <c r="S126" s="1" t="s">
        <v>1240</v>
      </c>
      <c r="U126" s="1" t="s">
        <v>1481</v>
      </c>
      <c r="W126" s="1" t="s">
        <v>270</v>
      </c>
    </row>
    <row r="127" spans="1:23" ht="24.95" customHeight="1" x14ac:dyDescent="0.25">
      <c r="A127" s="9">
        <f>SUBTOTAL(103,$F$1:F127)-1</f>
        <v>126</v>
      </c>
      <c r="B127" s="1" t="s">
        <v>1482</v>
      </c>
      <c r="C127" s="1" t="s">
        <v>1483</v>
      </c>
      <c r="D127" s="1" t="s">
        <v>1484</v>
      </c>
      <c r="E127" s="1" t="s">
        <v>1383</v>
      </c>
      <c r="F127" s="1" t="s">
        <v>1384</v>
      </c>
      <c r="G127" s="1" t="s">
        <v>1385</v>
      </c>
      <c r="H127" s="2" t="s">
        <v>1386</v>
      </c>
      <c r="I127" s="2" t="s">
        <v>1485</v>
      </c>
      <c r="J127" s="2" t="s">
        <v>1486</v>
      </c>
      <c r="K127" s="2" t="s">
        <v>1487</v>
      </c>
      <c r="L127" s="2" t="s">
        <v>1488</v>
      </c>
      <c r="M127" s="3">
        <v>675829.72</v>
      </c>
      <c r="N127" s="15">
        <v>45344</v>
      </c>
      <c r="O127" s="1">
        <v>10875</v>
      </c>
      <c r="P127" s="1" t="s">
        <v>1489</v>
      </c>
      <c r="Q127" s="1" t="s">
        <v>35</v>
      </c>
      <c r="R127" s="1" t="s">
        <v>1490</v>
      </c>
      <c r="S127" s="1" t="s">
        <v>1392</v>
      </c>
      <c r="U127" s="1" t="s">
        <v>1491</v>
      </c>
      <c r="W127" s="1" t="s">
        <v>39</v>
      </c>
    </row>
    <row r="128" spans="1:23" ht="24.95" customHeight="1" x14ac:dyDescent="0.25">
      <c r="A128" s="9">
        <f>SUBTOTAL(103,$F$1:F128)-1</f>
        <v>127</v>
      </c>
      <c r="E128" s="1" t="s">
        <v>1368</v>
      </c>
      <c r="F128" s="1" t="s">
        <v>1369</v>
      </c>
      <c r="G128" s="1" t="s">
        <v>1370</v>
      </c>
      <c r="H128" s="2" t="s">
        <v>1371</v>
      </c>
      <c r="I128" s="2" t="s">
        <v>1492</v>
      </c>
      <c r="J128" s="2" t="s">
        <v>1375</v>
      </c>
      <c r="K128" s="2" t="s">
        <v>1374</v>
      </c>
      <c r="L128" s="2" t="s">
        <v>1375</v>
      </c>
      <c r="M128" s="3">
        <v>2229614.5699999998</v>
      </c>
      <c r="N128" s="15">
        <v>45344</v>
      </c>
      <c r="O128" s="1">
        <v>1</v>
      </c>
      <c r="P128" s="1" t="s">
        <v>1493</v>
      </c>
      <c r="Q128" s="1" t="s">
        <v>35</v>
      </c>
      <c r="R128" s="1" t="s">
        <v>1494</v>
      </c>
      <c r="S128" s="1" t="s">
        <v>1378</v>
      </c>
      <c r="U128" s="1" t="s">
        <v>1492</v>
      </c>
      <c r="W128" s="1" t="s">
        <v>39</v>
      </c>
    </row>
    <row r="129" spans="1:23" ht="24.95" customHeight="1" x14ac:dyDescent="0.25">
      <c r="A129" s="9">
        <f>SUBTOTAL(103,$F$1:F129)-1</f>
        <v>128</v>
      </c>
      <c r="E129" s="1" t="s">
        <v>1383</v>
      </c>
      <c r="F129" s="1" t="s">
        <v>1384</v>
      </c>
      <c r="G129" s="1" t="s">
        <v>1385</v>
      </c>
      <c r="H129" s="2" t="s">
        <v>1386</v>
      </c>
      <c r="J129" s="2" t="s">
        <v>347</v>
      </c>
      <c r="M129" s="3">
        <v>675829.72</v>
      </c>
      <c r="N129" s="15">
        <v>45344</v>
      </c>
      <c r="P129" s="1" t="s">
        <v>1495</v>
      </c>
      <c r="Q129" s="1" t="s">
        <v>35</v>
      </c>
      <c r="S129" s="1" t="s">
        <v>1392</v>
      </c>
      <c r="U129" s="1" t="s">
        <v>1496</v>
      </c>
      <c r="W129" s="1" t="s">
        <v>39</v>
      </c>
    </row>
    <row r="130" spans="1:23" ht="24.95" customHeight="1" x14ac:dyDescent="0.25">
      <c r="A130" s="9">
        <f>SUBTOTAL(103,$F$1:F130)-1</f>
        <v>129</v>
      </c>
      <c r="E130" s="1" t="s">
        <v>1394</v>
      </c>
      <c r="F130" s="1" t="s">
        <v>1395</v>
      </c>
      <c r="G130" s="1" t="s">
        <v>425</v>
      </c>
      <c r="H130" s="2" t="s">
        <v>426</v>
      </c>
      <c r="I130" s="2" t="s">
        <v>347</v>
      </c>
      <c r="J130" s="2" t="s">
        <v>1497</v>
      </c>
      <c r="M130" s="3">
        <v>317215402.44999999</v>
      </c>
      <c r="N130" s="15">
        <v>45344</v>
      </c>
      <c r="O130" s="1">
        <v>1</v>
      </c>
      <c r="Q130" s="1" t="s">
        <v>35</v>
      </c>
      <c r="S130" s="1" t="s">
        <v>433</v>
      </c>
      <c r="U130" s="1" t="s">
        <v>1498</v>
      </c>
      <c r="W130" s="1" t="s">
        <v>39</v>
      </c>
    </row>
    <row r="131" spans="1:23" ht="24.95" customHeight="1" x14ac:dyDescent="0.25">
      <c r="A131" s="9">
        <f>SUBTOTAL(103,$F$1:F131)-1</f>
        <v>130</v>
      </c>
      <c r="E131" s="1" t="s">
        <v>1394</v>
      </c>
      <c r="F131" s="1" t="s">
        <v>1395</v>
      </c>
      <c r="G131" s="1" t="s">
        <v>425</v>
      </c>
      <c r="H131" s="2" t="s">
        <v>426</v>
      </c>
      <c r="I131" s="2" t="s">
        <v>1499</v>
      </c>
      <c r="J131" s="2" t="s">
        <v>1500</v>
      </c>
      <c r="K131" s="2" t="s">
        <v>1501</v>
      </c>
      <c r="L131" s="2" t="s">
        <v>1500</v>
      </c>
      <c r="M131" s="3">
        <v>317215402.44999999</v>
      </c>
      <c r="N131" s="15">
        <v>45344</v>
      </c>
      <c r="P131" s="1" t="s">
        <v>1399</v>
      </c>
      <c r="Q131" s="1" t="s">
        <v>35</v>
      </c>
      <c r="R131" s="1" t="s">
        <v>1502</v>
      </c>
      <c r="S131" s="1" t="s">
        <v>433</v>
      </c>
      <c r="U131" s="1" t="s">
        <v>1499</v>
      </c>
      <c r="W131" s="1" t="s">
        <v>39</v>
      </c>
    </row>
    <row r="132" spans="1:23" ht="24.95" customHeight="1" x14ac:dyDescent="0.25">
      <c r="A132" s="9">
        <f>SUBTOTAL(103,$F$1:F132)-1</f>
        <v>131</v>
      </c>
      <c r="E132" s="1" t="s">
        <v>1503</v>
      </c>
      <c r="F132" s="1" t="s">
        <v>1504</v>
      </c>
      <c r="G132" s="1" t="s">
        <v>1505</v>
      </c>
      <c r="H132" s="2" t="s">
        <v>1506</v>
      </c>
      <c r="I132" s="2" t="s">
        <v>1507</v>
      </c>
      <c r="J132" s="2" t="s">
        <v>1508</v>
      </c>
      <c r="K132" s="2" t="s">
        <v>1509</v>
      </c>
      <c r="M132" s="3">
        <v>701865.39</v>
      </c>
      <c r="N132" s="15">
        <v>45344</v>
      </c>
      <c r="O132" s="1">
        <v>2</v>
      </c>
      <c r="P132" s="1" t="s">
        <v>1510</v>
      </c>
      <c r="Q132" s="1" t="s">
        <v>35</v>
      </c>
      <c r="R132" s="1" t="s">
        <v>302</v>
      </c>
      <c r="S132" s="1" t="s">
        <v>1511</v>
      </c>
      <c r="U132" s="1" t="s">
        <v>1512</v>
      </c>
      <c r="W132" s="1" t="s">
        <v>39</v>
      </c>
    </row>
    <row r="133" spans="1:23" ht="24.95" customHeight="1" x14ac:dyDescent="0.25">
      <c r="A133" s="9">
        <f>SUBTOTAL(103,$F$1:F133)-1</f>
        <v>132</v>
      </c>
      <c r="C133" s="1" t="s">
        <v>1513</v>
      </c>
      <c r="E133" s="1" t="s">
        <v>1514</v>
      </c>
      <c r="F133" s="1" t="s">
        <v>1515</v>
      </c>
      <c r="G133" s="1" t="s">
        <v>1516</v>
      </c>
      <c r="H133" s="2" t="s">
        <v>1517</v>
      </c>
      <c r="I133" s="2" t="s">
        <v>1518</v>
      </c>
      <c r="J133" s="2" t="s">
        <v>1519</v>
      </c>
      <c r="K133" s="2" t="s">
        <v>1520</v>
      </c>
      <c r="L133" s="2" t="s">
        <v>1521</v>
      </c>
      <c r="M133" s="3">
        <v>4525487.4400000004</v>
      </c>
      <c r="N133" s="15">
        <v>45344</v>
      </c>
      <c r="O133" s="1">
        <v>2</v>
      </c>
      <c r="P133" s="1" t="s">
        <v>1522</v>
      </c>
      <c r="Q133" s="1" t="s">
        <v>35</v>
      </c>
      <c r="R133" s="1" t="s">
        <v>1523</v>
      </c>
      <c r="S133" s="1" t="s">
        <v>1524</v>
      </c>
      <c r="U133" s="1" t="s">
        <v>1525</v>
      </c>
      <c r="W133" s="1" t="s">
        <v>1526</v>
      </c>
    </row>
    <row r="134" spans="1:23" ht="24.95" customHeight="1" x14ac:dyDescent="0.25">
      <c r="A134" s="9">
        <f>SUBTOTAL(103,$F$1:F134)-1</f>
        <v>133</v>
      </c>
      <c r="E134" s="1" t="s">
        <v>1527</v>
      </c>
      <c r="F134" s="1" t="s">
        <v>1528</v>
      </c>
      <c r="G134" s="1" t="s">
        <v>1529</v>
      </c>
      <c r="H134" s="2" t="s">
        <v>1530</v>
      </c>
      <c r="I134" s="2" t="s">
        <v>1531</v>
      </c>
      <c r="J134" s="2" t="s">
        <v>1532</v>
      </c>
      <c r="K134" s="2" t="s">
        <v>1533</v>
      </c>
      <c r="L134" s="2" t="s">
        <v>1532</v>
      </c>
      <c r="M134" s="3">
        <v>940726.22</v>
      </c>
      <c r="N134" s="15">
        <v>45343</v>
      </c>
      <c r="O134" s="1">
        <v>2</v>
      </c>
      <c r="P134" s="1" t="s">
        <v>1534</v>
      </c>
      <c r="Q134" s="1" t="s">
        <v>35</v>
      </c>
      <c r="R134" s="1" t="s">
        <v>103</v>
      </c>
      <c r="S134" s="1" t="s">
        <v>1535</v>
      </c>
      <c r="U134" s="1" t="s">
        <v>1531</v>
      </c>
      <c r="W134" s="1" t="s">
        <v>39</v>
      </c>
    </row>
    <row r="135" spans="1:23" ht="24.95" customHeight="1" x14ac:dyDescent="0.25">
      <c r="A135" s="9">
        <f>SUBTOTAL(103,$F$1:F135)-1</f>
        <v>134</v>
      </c>
      <c r="B135" s="1" t="s">
        <v>1536</v>
      </c>
      <c r="C135" s="1" t="s">
        <v>1537</v>
      </c>
      <c r="D135" s="1" t="s">
        <v>1538</v>
      </c>
      <c r="E135" s="1" t="s">
        <v>1539</v>
      </c>
      <c r="F135" s="1" t="s">
        <v>1540</v>
      </c>
      <c r="G135" s="1" t="s">
        <v>1541</v>
      </c>
      <c r="H135" s="2" t="s">
        <v>1542</v>
      </c>
      <c r="I135" s="2" t="s">
        <v>1543</v>
      </c>
      <c r="J135" s="2" t="s">
        <v>1544</v>
      </c>
      <c r="K135" s="2" t="s">
        <v>1545</v>
      </c>
      <c r="L135" s="2" t="s">
        <v>1546</v>
      </c>
      <c r="M135" s="3">
        <v>2424947</v>
      </c>
      <c r="N135" s="15">
        <v>45344</v>
      </c>
      <c r="O135" s="1">
        <v>4572</v>
      </c>
      <c r="P135" s="1" t="s">
        <v>1547</v>
      </c>
      <c r="Q135" s="1" t="s">
        <v>1548</v>
      </c>
      <c r="R135" s="1" t="s">
        <v>1549</v>
      </c>
      <c r="S135" s="1" t="s">
        <v>1550</v>
      </c>
      <c r="U135" s="1" t="s">
        <v>1551</v>
      </c>
      <c r="W135" s="1" t="s">
        <v>39</v>
      </c>
    </row>
    <row r="136" spans="1:23" ht="24.95" customHeight="1" x14ac:dyDescent="0.25">
      <c r="A136" s="9">
        <f>SUBTOTAL(103,$F$1:F136)-1</f>
        <v>135</v>
      </c>
      <c r="B136" s="1" t="s">
        <v>1536</v>
      </c>
      <c r="C136" s="1" t="s">
        <v>1537</v>
      </c>
      <c r="D136" s="1" t="s">
        <v>1538</v>
      </c>
      <c r="E136" s="1" t="s">
        <v>1552</v>
      </c>
      <c r="F136" s="1" t="s">
        <v>1553</v>
      </c>
      <c r="G136" s="1" t="s">
        <v>1554</v>
      </c>
      <c r="H136" s="2" t="s">
        <v>1555</v>
      </c>
      <c r="I136" s="2" t="s">
        <v>1543</v>
      </c>
      <c r="J136" s="2" t="s">
        <v>1544</v>
      </c>
      <c r="K136" s="2" t="s">
        <v>1545</v>
      </c>
      <c r="L136" s="2" t="s">
        <v>1546</v>
      </c>
      <c r="M136" s="3">
        <v>722930.52</v>
      </c>
      <c r="N136" s="15">
        <v>45344</v>
      </c>
      <c r="O136" s="1">
        <v>4572</v>
      </c>
      <c r="P136" s="1" t="s">
        <v>1547</v>
      </c>
      <c r="Q136" s="1" t="s">
        <v>1548</v>
      </c>
      <c r="R136" s="1" t="s">
        <v>1549</v>
      </c>
      <c r="S136" s="1" t="s">
        <v>1556</v>
      </c>
      <c r="U136" s="1" t="s">
        <v>1551</v>
      </c>
      <c r="W136" s="1" t="s">
        <v>39</v>
      </c>
    </row>
    <row r="137" spans="1:23" ht="24.95" customHeight="1" x14ac:dyDescent="0.25">
      <c r="A137" s="9">
        <f>SUBTOTAL(103,$F$1:F137)-1</f>
        <v>136</v>
      </c>
      <c r="B137" s="1" t="s">
        <v>1557</v>
      </c>
      <c r="E137" s="1" t="s">
        <v>1558</v>
      </c>
      <c r="F137" s="1" t="s">
        <v>1559</v>
      </c>
      <c r="G137" s="1" t="s">
        <v>1560</v>
      </c>
      <c r="H137" s="2" t="s">
        <v>1561</v>
      </c>
      <c r="I137" s="2" t="s">
        <v>1562</v>
      </c>
      <c r="J137" s="2" t="s">
        <v>1563</v>
      </c>
      <c r="K137" s="2" t="s">
        <v>1564</v>
      </c>
      <c r="L137" s="2" t="s">
        <v>1565</v>
      </c>
      <c r="M137" s="3">
        <v>654604</v>
      </c>
      <c r="N137" s="15">
        <v>45343</v>
      </c>
      <c r="O137" s="1">
        <v>2</v>
      </c>
      <c r="P137" s="1" t="s">
        <v>1566</v>
      </c>
      <c r="Q137" s="1" t="s">
        <v>35</v>
      </c>
      <c r="R137" s="1" t="s">
        <v>1567</v>
      </c>
      <c r="S137" s="1" t="s">
        <v>1568</v>
      </c>
      <c r="U137" s="1" t="s">
        <v>1569</v>
      </c>
      <c r="W137" s="1" t="s">
        <v>39</v>
      </c>
    </row>
    <row r="138" spans="1:23" ht="24.95" customHeight="1" x14ac:dyDescent="0.25">
      <c r="A138" s="9">
        <f>SUBTOTAL(103,$F$1:F138)-1</f>
        <v>137</v>
      </c>
      <c r="B138" s="1" t="s">
        <v>1570</v>
      </c>
      <c r="C138" s="1" t="s">
        <v>1571</v>
      </c>
      <c r="E138" s="1" t="s">
        <v>1572</v>
      </c>
      <c r="F138" s="1" t="s">
        <v>1573</v>
      </c>
      <c r="G138" s="1" t="s">
        <v>1574</v>
      </c>
      <c r="H138" s="2" t="s">
        <v>1575</v>
      </c>
      <c r="I138" s="2" t="s">
        <v>1576</v>
      </c>
      <c r="J138" s="2" t="s">
        <v>1577</v>
      </c>
      <c r="K138" s="2" t="s">
        <v>347</v>
      </c>
      <c r="M138" s="3">
        <v>184500000</v>
      </c>
      <c r="N138" s="15">
        <v>45343</v>
      </c>
      <c r="O138" s="1">
        <v>6781</v>
      </c>
      <c r="P138" s="1" t="s">
        <v>1578</v>
      </c>
      <c r="Q138" s="1" t="s">
        <v>35</v>
      </c>
      <c r="R138" s="1" t="s">
        <v>1579</v>
      </c>
      <c r="S138" s="1" t="s">
        <v>1580</v>
      </c>
      <c r="U138" s="1" t="s">
        <v>1581</v>
      </c>
      <c r="W138" s="1" t="s">
        <v>39</v>
      </c>
    </row>
    <row r="139" spans="1:23" ht="24.95" customHeight="1" x14ac:dyDescent="0.25">
      <c r="A139" s="9">
        <f>SUBTOTAL(103,$F$1:F139)-1</f>
        <v>138</v>
      </c>
      <c r="B139" s="1" t="s">
        <v>1582</v>
      </c>
      <c r="C139" s="1" t="s">
        <v>1583</v>
      </c>
      <c r="D139" s="1" t="s">
        <v>1584</v>
      </c>
      <c r="E139" s="1" t="s">
        <v>1585</v>
      </c>
      <c r="F139" s="1" t="s">
        <v>1586</v>
      </c>
      <c r="G139" s="1" t="s">
        <v>255</v>
      </c>
      <c r="H139" s="2" t="s">
        <v>256</v>
      </c>
      <c r="I139" s="2" t="s">
        <v>1587</v>
      </c>
      <c r="J139" s="2" t="s">
        <v>1588</v>
      </c>
      <c r="K139" s="2" t="s">
        <v>347</v>
      </c>
      <c r="M139" s="3">
        <v>545300</v>
      </c>
      <c r="N139" s="15">
        <v>45344</v>
      </c>
      <c r="O139" s="1">
        <v>913</v>
      </c>
      <c r="P139" s="1" t="s">
        <v>1589</v>
      </c>
      <c r="Q139" s="1" t="s">
        <v>1548</v>
      </c>
      <c r="R139" s="1" t="s">
        <v>1590</v>
      </c>
      <c r="S139" s="1" t="s">
        <v>257</v>
      </c>
      <c r="U139" s="1" t="s">
        <v>1591</v>
      </c>
      <c r="W139" s="1" t="s">
        <v>39</v>
      </c>
    </row>
    <row r="140" spans="1:23" ht="24.95" customHeight="1" x14ac:dyDescent="0.25">
      <c r="A140" s="9">
        <f>SUBTOTAL(103,$F$1:F140)-1</f>
        <v>139</v>
      </c>
      <c r="B140" s="1" t="s">
        <v>1582</v>
      </c>
      <c r="C140" s="1" t="s">
        <v>1583</v>
      </c>
      <c r="D140" s="1" t="s">
        <v>1584</v>
      </c>
      <c r="E140" s="1" t="s">
        <v>1592</v>
      </c>
      <c r="F140" s="1" t="s">
        <v>1593</v>
      </c>
      <c r="G140" s="1" t="s">
        <v>255</v>
      </c>
      <c r="H140" s="2" t="s">
        <v>256</v>
      </c>
      <c r="I140" s="2" t="s">
        <v>1587</v>
      </c>
      <c r="J140" s="2" t="s">
        <v>1588</v>
      </c>
      <c r="K140" s="2" t="s">
        <v>347</v>
      </c>
      <c r="M140" s="3">
        <v>559650</v>
      </c>
      <c r="N140" s="15">
        <v>45344</v>
      </c>
      <c r="O140" s="1">
        <v>913</v>
      </c>
      <c r="P140" s="1" t="s">
        <v>1589</v>
      </c>
      <c r="Q140" s="1" t="s">
        <v>1548</v>
      </c>
      <c r="R140" s="1" t="s">
        <v>1590</v>
      </c>
      <c r="S140" s="1" t="s">
        <v>257</v>
      </c>
      <c r="U140" s="1" t="s">
        <v>1591</v>
      </c>
      <c r="W140" s="1" t="s">
        <v>39</v>
      </c>
    </row>
    <row r="141" spans="1:23" ht="24.95" customHeight="1" x14ac:dyDescent="0.25">
      <c r="A141" s="9">
        <f>SUBTOTAL(103,$F$1:F141)-1</f>
        <v>140</v>
      </c>
      <c r="B141" s="1" t="s">
        <v>1594</v>
      </c>
      <c r="C141" s="1" t="s">
        <v>1595</v>
      </c>
      <c r="E141" s="1" t="s">
        <v>1596</v>
      </c>
      <c r="F141" s="1" t="s">
        <v>1597</v>
      </c>
      <c r="G141" s="1" t="s">
        <v>1598</v>
      </c>
      <c r="H141" s="2" t="s">
        <v>1599</v>
      </c>
      <c r="I141" s="2" t="s">
        <v>1600</v>
      </c>
      <c r="J141" s="2" t="s">
        <v>1601</v>
      </c>
      <c r="K141" s="2" t="s">
        <v>1602</v>
      </c>
      <c r="L141" s="2" t="s">
        <v>1603</v>
      </c>
      <c r="M141" s="3">
        <v>1000000</v>
      </c>
      <c r="N141" s="15">
        <v>45344</v>
      </c>
      <c r="O141" s="1">
        <v>18</v>
      </c>
      <c r="P141" s="1" t="s">
        <v>1604</v>
      </c>
      <c r="Q141" s="1" t="s">
        <v>1548</v>
      </c>
      <c r="R141" s="1" t="s">
        <v>224</v>
      </c>
      <c r="S141" s="1" t="s">
        <v>1605</v>
      </c>
      <c r="U141" s="1" t="s">
        <v>1606</v>
      </c>
      <c r="W141" s="1" t="s">
        <v>39</v>
      </c>
    </row>
    <row r="142" spans="1:23" ht="24.95" customHeight="1" x14ac:dyDescent="0.25">
      <c r="A142" s="9">
        <f>SUBTOTAL(103,$F$1:F142)-1</f>
        <v>141</v>
      </c>
      <c r="B142" s="1" t="s">
        <v>1607</v>
      </c>
      <c r="E142" s="1" t="s">
        <v>1608</v>
      </c>
      <c r="F142" s="1" t="s">
        <v>1609</v>
      </c>
      <c r="G142" s="1" t="s">
        <v>1610</v>
      </c>
      <c r="H142" s="2" t="s">
        <v>1611</v>
      </c>
      <c r="I142" s="2" t="s">
        <v>1612</v>
      </c>
      <c r="J142" s="2" t="s">
        <v>1613</v>
      </c>
      <c r="K142" s="2" t="s">
        <v>1614</v>
      </c>
      <c r="L142" s="2" t="s">
        <v>1615</v>
      </c>
      <c r="M142" s="3">
        <v>11133867.880000001</v>
      </c>
      <c r="N142" s="15">
        <v>45343</v>
      </c>
      <c r="O142" s="1">
        <v>14</v>
      </c>
      <c r="P142" s="1" t="s">
        <v>1616</v>
      </c>
      <c r="Q142" s="1" t="s">
        <v>35</v>
      </c>
      <c r="R142" s="1" t="s">
        <v>389</v>
      </c>
      <c r="S142" s="1" t="s">
        <v>1617</v>
      </c>
      <c r="U142" s="1" t="s">
        <v>1618</v>
      </c>
      <c r="W142" s="1" t="s">
        <v>39</v>
      </c>
    </row>
    <row r="143" spans="1:23" ht="24.95" customHeight="1" x14ac:dyDescent="0.25">
      <c r="A143" s="9">
        <f>SUBTOTAL(103,$F$1:F143)-1</f>
        <v>142</v>
      </c>
      <c r="C143" s="1" t="s">
        <v>1619</v>
      </c>
      <c r="E143" s="1" t="s">
        <v>1620</v>
      </c>
      <c r="F143" s="1" t="s">
        <v>1621</v>
      </c>
      <c r="G143" s="1" t="s">
        <v>1622</v>
      </c>
      <c r="H143" s="2" t="s">
        <v>1623</v>
      </c>
      <c r="I143" s="2" t="s">
        <v>1624</v>
      </c>
      <c r="J143" s="2" t="s">
        <v>1625</v>
      </c>
      <c r="K143" s="2" t="s">
        <v>1626</v>
      </c>
      <c r="L143" s="2" t="s">
        <v>1627</v>
      </c>
      <c r="M143" s="3">
        <v>1350962.34</v>
      </c>
      <c r="N143" s="15">
        <v>45343</v>
      </c>
      <c r="O143" s="1">
        <v>9</v>
      </c>
      <c r="P143" s="1" t="s">
        <v>1628</v>
      </c>
      <c r="Q143" s="1" t="s">
        <v>35</v>
      </c>
      <c r="R143" s="1" t="s">
        <v>159</v>
      </c>
      <c r="S143" s="1" t="s">
        <v>1629</v>
      </c>
      <c r="U143" s="1" t="s">
        <v>1630</v>
      </c>
      <c r="W143" s="1" t="s">
        <v>39</v>
      </c>
    </row>
    <row r="144" spans="1:23" ht="24.95" customHeight="1" x14ac:dyDescent="0.25">
      <c r="A144" s="9">
        <f>SUBTOTAL(103,$F$1:F144)-1</f>
        <v>143</v>
      </c>
      <c r="E144" s="1" t="s">
        <v>1631</v>
      </c>
      <c r="F144" s="1" t="s">
        <v>1632</v>
      </c>
      <c r="G144" s="1" t="s">
        <v>1633</v>
      </c>
      <c r="H144" s="2" t="s">
        <v>1634</v>
      </c>
      <c r="I144" s="2" t="s">
        <v>1635</v>
      </c>
      <c r="J144" s="2" t="s">
        <v>1636</v>
      </c>
      <c r="K144" s="2" t="s">
        <v>347</v>
      </c>
      <c r="M144" s="3">
        <v>7328314.9299999997</v>
      </c>
      <c r="N144" s="15">
        <v>45343</v>
      </c>
      <c r="O144" s="1">
        <v>24</v>
      </c>
      <c r="P144" s="1" t="s">
        <v>1637</v>
      </c>
      <c r="Q144" s="1" t="s">
        <v>35</v>
      </c>
      <c r="R144" s="1" t="s">
        <v>1638</v>
      </c>
      <c r="S144" s="1" t="s">
        <v>1639</v>
      </c>
      <c r="U144" s="1" t="s">
        <v>1640</v>
      </c>
      <c r="W144" s="1" t="s">
        <v>39</v>
      </c>
    </row>
    <row r="145" spans="1:23" ht="24.95" customHeight="1" x14ac:dyDescent="0.25">
      <c r="A145" s="9">
        <f>SUBTOTAL(103,$F$1:F145)-1</f>
        <v>144</v>
      </c>
      <c r="B145" s="1" t="s">
        <v>1641</v>
      </c>
      <c r="C145" s="1" t="s">
        <v>1642</v>
      </c>
      <c r="D145" s="1" t="s">
        <v>1643</v>
      </c>
      <c r="E145" s="1" t="s">
        <v>1644</v>
      </c>
      <c r="F145" s="1" t="s">
        <v>1645</v>
      </c>
      <c r="G145" s="1" t="s">
        <v>1646</v>
      </c>
      <c r="H145" s="2" t="s">
        <v>1647</v>
      </c>
      <c r="I145" s="2" t="s">
        <v>1648</v>
      </c>
      <c r="J145" s="2" t="s">
        <v>1649</v>
      </c>
      <c r="K145" s="2" t="s">
        <v>1650</v>
      </c>
      <c r="M145" s="3">
        <v>20751858</v>
      </c>
      <c r="N145" s="15">
        <v>45344</v>
      </c>
      <c r="O145" s="1">
        <v>129</v>
      </c>
      <c r="P145" s="1" t="s">
        <v>1651</v>
      </c>
      <c r="Q145" s="1" t="s">
        <v>1548</v>
      </c>
      <c r="R145" s="1" t="s">
        <v>1652</v>
      </c>
      <c r="S145" s="1" t="s">
        <v>1653</v>
      </c>
      <c r="U145" s="1" t="s">
        <v>1654</v>
      </c>
      <c r="W145" s="1" t="s">
        <v>39</v>
      </c>
    </row>
    <row r="146" spans="1:23" ht="24.95" customHeight="1" x14ac:dyDescent="0.25">
      <c r="A146" s="9">
        <f>SUBTOTAL(103,$F$1:F146)-1</f>
        <v>145</v>
      </c>
      <c r="B146" s="1" t="s">
        <v>1655</v>
      </c>
      <c r="C146" s="1" t="s">
        <v>1656</v>
      </c>
      <c r="D146" s="1" t="s">
        <v>1657</v>
      </c>
      <c r="E146" s="1" t="s">
        <v>1658</v>
      </c>
      <c r="F146" s="1" t="s">
        <v>1659</v>
      </c>
      <c r="G146" s="1" t="s">
        <v>721</v>
      </c>
      <c r="H146" s="2" t="s">
        <v>722</v>
      </c>
      <c r="I146" s="2" t="s">
        <v>1660</v>
      </c>
      <c r="J146" s="2" t="s">
        <v>1661</v>
      </c>
      <c r="K146" s="2" t="s">
        <v>1662</v>
      </c>
      <c r="L146" s="2" t="s">
        <v>1663</v>
      </c>
      <c r="M146" s="3">
        <v>1541726.68</v>
      </c>
      <c r="N146" s="15">
        <v>45343</v>
      </c>
      <c r="O146" s="1">
        <v>126</v>
      </c>
      <c r="P146" s="1" t="s">
        <v>1664</v>
      </c>
      <c r="Q146" s="1" t="s">
        <v>35</v>
      </c>
      <c r="R146" s="1" t="s">
        <v>499</v>
      </c>
      <c r="S146" s="1" t="s">
        <v>729</v>
      </c>
      <c r="U146" s="1" t="s">
        <v>1665</v>
      </c>
      <c r="W146" s="1" t="s">
        <v>39</v>
      </c>
    </row>
    <row r="147" spans="1:23" ht="24.95" customHeight="1" x14ac:dyDescent="0.25">
      <c r="A147" s="9">
        <f>SUBTOTAL(103,$F$1:F147)-1</f>
        <v>146</v>
      </c>
      <c r="B147" s="1" t="s">
        <v>1666</v>
      </c>
      <c r="C147" s="1" t="s">
        <v>1667</v>
      </c>
      <c r="D147" s="1" t="s">
        <v>1668</v>
      </c>
      <c r="E147" s="1" t="s">
        <v>1669</v>
      </c>
      <c r="F147" s="1" t="s">
        <v>1670</v>
      </c>
      <c r="G147" s="1" t="s">
        <v>167</v>
      </c>
      <c r="H147" s="2" t="s">
        <v>168</v>
      </c>
      <c r="I147" s="2" t="s">
        <v>1671</v>
      </c>
      <c r="J147" s="2" t="s">
        <v>1672</v>
      </c>
      <c r="K147" s="2" t="s">
        <v>1673</v>
      </c>
      <c r="L147" s="2" t="s">
        <v>1674</v>
      </c>
      <c r="M147" s="3">
        <v>3800745.21</v>
      </c>
      <c r="N147" s="15">
        <v>45344</v>
      </c>
      <c r="O147" s="1">
        <v>5238</v>
      </c>
      <c r="P147" s="1" t="s">
        <v>1675</v>
      </c>
      <c r="Q147" s="1" t="s">
        <v>1548</v>
      </c>
      <c r="R147" s="1" t="s">
        <v>1676</v>
      </c>
      <c r="S147" s="1" t="s">
        <v>175</v>
      </c>
      <c r="U147" s="1" t="s">
        <v>1677</v>
      </c>
      <c r="W147" s="1" t="s">
        <v>39</v>
      </c>
    </row>
    <row r="148" spans="1:23" ht="24.95" customHeight="1" x14ac:dyDescent="0.25">
      <c r="A148" s="9">
        <f>SUBTOTAL(103,$F$1:F148)-1</f>
        <v>147</v>
      </c>
      <c r="B148" s="1" t="s">
        <v>1678</v>
      </c>
      <c r="C148" s="1" t="s">
        <v>1679</v>
      </c>
      <c r="E148" s="1" t="s">
        <v>1680</v>
      </c>
      <c r="F148" s="1" t="s">
        <v>1681</v>
      </c>
      <c r="G148" s="1" t="s">
        <v>533</v>
      </c>
      <c r="H148" s="2" t="s">
        <v>534</v>
      </c>
      <c r="I148" s="2" t="s">
        <v>1682</v>
      </c>
      <c r="J148" s="2" t="s">
        <v>1683</v>
      </c>
      <c r="K148" s="2" t="s">
        <v>1684</v>
      </c>
      <c r="L148" s="2" t="s">
        <v>1685</v>
      </c>
      <c r="M148" s="3">
        <v>4641366.67</v>
      </c>
      <c r="N148" s="15">
        <v>45343</v>
      </c>
      <c r="O148" s="1">
        <v>206</v>
      </c>
      <c r="P148" s="1" t="s">
        <v>1686</v>
      </c>
      <c r="Q148" s="1" t="s">
        <v>35</v>
      </c>
      <c r="R148" s="1" t="s">
        <v>159</v>
      </c>
      <c r="S148" s="1" t="s">
        <v>540</v>
      </c>
      <c r="U148" s="1" t="s">
        <v>1687</v>
      </c>
      <c r="W148" s="1" t="s">
        <v>39</v>
      </c>
    </row>
    <row r="149" spans="1:23" ht="24.95" customHeight="1" x14ac:dyDescent="0.25">
      <c r="A149" s="9">
        <f>SUBTOTAL(103,$F$1:F149)-1</f>
        <v>148</v>
      </c>
      <c r="B149" s="1" t="s">
        <v>1688</v>
      </c>
      <c r="C149" s="1" t="s">
        <v>1689</v>
      </c>
      <c r="E149" s="1" t="s">
        <v>1690</v>
      </c>
      <c r="F149" s="1" t="s">
        <v>1691</v>
      </c>
      <c r="G149" s="1" t="s">
        <v>1692</v>
      </c>
      <c r="H149" s="2" t="s">
        <v>1693</v>
      </c>
      <c r="I149" s="2" t="s">
        <v>1694</v>
      </c>
      <c r="J149" s="2" t="s">
        <v>1695</v>
      </c>
      <c r="K149" s="2" t="s">
        <v>1696</v>
      </c>
      <c r="L149" s="2" t="s">
        <v>1697</v>
      </c>
      <c r="M149" s="3">
        <v>1152220</v>
      </c>
      <c r="N149" s="15">
        <v>45344</v>
      </c>
      <c r="O149" s="1">
        <v>71</v>
      </c>
      <c r="P149" s="1" t="s">
        <v>1698</v>
      </c>
      <c r="Q149" s="1" t="s">
        <v>1548</v>
      </c>
      <c r="R149" s="1" t="s">
        <v>690</v>
      </c>
      <c r="S149" s="1" t="s">
        <v>1699</v>
      </c>
      <c r="U149" s="1" t="s">
        <v>1700</v>
      </c>
      <c r="W149" s="1" t="s">
        <v>39</v>
      </c>
    </row>
    <row r="150" spans="1:23" ht="24.95" customHeight="1" x14ac:dyDescent="0.25">
      <c r="A150" s="9">
        <f>SUBTOTAL(103,$F$1:F150)-1</f>
        <v>149</v>
      </c>
      <c r="E150" s="1" t="s">
        <v>1701</v>
      </c>
      <c r="F150" s="1" t="s">
        <v>1702</v>
      </c>
      <c r="G150" s="1" t="s">
        <v>1646</v>
      </c>
      <c r="H150" s="2" t="s">
        <v>1647</v>
      </c>
      <c r="J150" s="2" t="s">
        <v>347</v>
      </c>
      <c r="M150" s="3">
        <v>17056465.920000002</v>
      </c>
      <c r="N150" s="15">
        <v>45344</v>
      </c>
      <c r="P150" s="1" t="s">
        <v>1703</v>
      </c>
      <c r="Q150" s="1" t="s">
        <v>1548</v>
      </c>
      <c r="S150" s="1" t="s">
        <v>1653</v>
      </c>
      <c r="W150" s="1" t="s">
        <v>39</v>
      </c>
    </row>
    <row r="151" spans="1:23" ht="24.95" customHeight="1" x14ac:dyDescent="0.25">
      <c r="A151" s="9">
        <f>SUBTOTAL(103,$F$1:F151)-1</f>
        <v>150</v>
      </c>
      <c r="B151" s="1" t="s">
        <v>54</v>
      </c>
      <c r="C151" s="1" t="s">
        <v>55</v>
      </c>
      <c r="D151" s="1" t="s">
        <v>56</v>
      </c>
      <c r="E151" s="1" t="s">
        <v>1704</v>
      </c>
      <c r="F151" s="1" t="s">
        <v>1705</v>
      </c>
      <c r="G151" s="1" t="s">
        <v>1706</v>
      </c>
      <c r="H151" s="2" t="s">
        <v>1707</v>
      </c>
      <c r="I151" s="2" t="s">
        <v>61</v>
      </c>
      <c r="J151" s="2" t="s">
        <v>62</v>
      </c>
      <c r="K151" s="2" t="s">
        <v>63</v>
      </c>
      <c r="L151" s="2" t="s">
        <v>64</v>
      </c>
      <c r="M151" s="3">
        <v>11497716</v>
      </c>
      <c r="N151" s="15">
        <v>45343</v>
      </c>
      <c r="O151" s="1">
        <v>220469</v>
      </c>
      <c r="P151" s="1" t="s">
        <v>65</v>
      </c>
      <c r="Q151" s="1" t="s">
        <v>35</v>
      </c>
      <c r="R151" s="1" t="s">
        <v>66</v>
      </c>
      <c r="S151" s="1" t="s">
        <v>1708</v>
      </c>
      <c r="U151" s="1" t="s">
        <v>68</v>
      </c>
      <c r="W151" s="1" t="s">
        <v>1011</v>
      </c>
    </row>
    <row r="152" spans="1:23" ht="24.95" customHeight="1" x14ac:dyDescent="0.25">
      <c r="A152" s="9">
        <f>SUBTOTAL(103,$F$1:F152)-1</f>
        <v>151</v>
      </c>
      <c r="B152" s="1" t="s">
        <v>1709</v>
      </c>
      <c r="C152" s="1" t="s">
        <v>1710</v>
      </c>
      <c r="D152" s="1" t="s">
        <v>1711</v>
      </c>
      <c r="E152" s="1" t="s">
        <v>1712</v>
      </c>
      <c r="F152" s="1" t="s">
        <v>1713</v>
      </c>
      <c r="G152" s="1" t="s">
        <v>1714</v>
      </c>
      <c r="H152" s="2" t="s">
        <v>1715</v>
      </c>
      <c r="I152" s="2" t="s">
        <v>1716</v>
      </c>
      <c r="J152" s="2" t="s">
        <v>1717</v>
      </c>
      <c r="K152" s="2" t="s">
        <v>1718</v>
      </c>
      <c r="L152" s="2" t="s">
        <v>1719</v>
      </c>
      <c r="M152" s="3">
        <v>4492354.28</v>
      </c>
      <c r="N152" s="15">
        <v>45344</v>
      </c>
      <c r="O152" s="1">
        <v>304</v>
      </c>
      <c r="P152" s="1" t="s">
        <v>1720</v>
      </c>
      <c r="Q152" s="1" t="s">
        <v>1548</v>
      </c>
      <c r="R152" s="1" t="s">
        <v>1721</v>
      </c>
      <c r="S152" s="1" t="s">
        <v>1722</v>
      </c>
      <c r="U152" s="1" t="s">
        <v>1723</v>
      </c>
      <c r="W152" s="1" t="s">
        <v>39</v>
      </c>
    </row>
    <row r="153" spans="1:23" ht="24.95" customHeight="1" x14ac:dyDescent="0.25">
      <c r="A153" s="9">
        <f>SUBTOTAL(103,$F$1:F153)-1</f>
        <v>152</v>
      </c>
      <c r="E153" s="1" t="s">
        <v>1724</v>
      </c>
      <c r="F153" s="1" t="s">
        <v>1725</v>
      </c>
      <c r="H153" s="2" t="s">
        <v>347</v>
      </c>
      <c r="I153" s="2" t="s">
        <v>1726</v>
      </c>
      <c r="J153" s="2" t="s">
        <v>1727</v>
      </c>
      <c r="K153" s="2" t="s">
        <v>1728</v>
      </c>
      <c r="L153" s="2" t="s">
        <v>1727</v>
      </c>
      <c r="M153" s="3">
        <v>4029880</v>
      </c>
      <c r="N153" s="15">
        <v>45343</v>
      </c>
      <c r="O153" s="1">
        <v>1</v>
      </c>
      <c r="P153" s="1" t="s">
        <v>1729</v>
      </c>
      <c r="Q153" s="1" t="s">
        <v>35</v>
      </c>
      <c r="R153" s="1" t="s">
        <v>1730</v>
      </c>
      <c r="S153" s="1" t="s">
        <v>1731</v>
      </c>
      <c r="U153" s="1" t="s">
        <v>1726</v>
      </c>
      <c r="W153" s="1" t="s">
        <v>39</v>
      </c>
    </row>
    <row r="154" spans="1:23" ht="24.95" customHeight="1" x14ac:dyDescent="0.25">
      <c r="A154" s="9">
        <f>SUBTOTAL(103,$F$1:F154)-1</f>
        <v>153</v>
      </c>
      <c r="B154" s="1" t="s">
        <v>1732</v>
      </c>
      <c r="E154" s="1" t="s">
        <v>1724</v>
      </c>
      <c r="F154" s="1" t="s">
        <v>1725</v>
      </c>
      <c r="H154" s="2" t="s">
        <v>347</v>
      </c>
      <c r="I154" s="2" t="s">
        <v>1733</v>
      </c>
      <c r="J154" s="2" t="s">
        <v>1734</v>
      </c>
      <c r="K154" s="2" t="s">
        <v>1728</v>
      </c>
      <c r="L154" s="2" t="s">
        <v>1727</v>
      </c>
      <c r="M154" s="3">
        <v>4029880</v>
      </c>
      <c r="N154" s="15">
        <v>45343</v>
      </c>
      <c r="O154" s="1">
        <v>1</v>
      </c>
      <c r="P154" s="1" t="s">
        <v>1735</v>
      </c>
      <c r="Q154" s="1" t="s">
        <v>35</v>
      </c>
      <c r="R154" s="1" t="s">
        <v>1736</v>
      </c>
      <c r="S154" s="1" t="s">
        <v>1731</v>
      </c>
      <c r="U154" s="1" t="s">
        <v>1737</v>
      </c>
      <c r="W154" s="1" t="s">
        <v>39</v>
      </c>
    </row>
    <row r="155" spans="1:23" ht="24.95" customHeight="1" x14ac:dyDescent="0.25">
      <c r="A155" s="9">
        <f>SUBTOTAL(103,$F$1:F155)-1</f>
        <v>154</v>
      </c>
      <c r="E155" s="1" t="s">
        <v>1738</v>
      </c>
      <c r="F155" s="1" t="s">
        <v>1739</v>
      </c>
      <c r="G155" s="1" t="s">
        <v>1646</v>
      </c>
      <c r="H155" s="2" t="s">
        <v>1647</v>
      </c>
      <c r="J155" s="2" t="s">
        <v>347</v>
      </c>
      <c r="M155" s="3">
        <v>20736819.359999999</v>
      </c>
      <c r="N155" s="15">
        <v>45344</v>
      </c>
      <c r="P155" s="1" t="s">
        <v>1703</v>
      </c>
      <c r="Q155" s="1" t="s">
        <v>1548</v>
      </c>
      <c r="S155" s="1" t="s">
        <v>1653</v>
      </c>
      <c r="W155" s="1" t="s">
        <v>39</v>
      </c>
    </row>
    <row r="156" spans="1:23" ht="24.95" customHeight="1" x14ac:dyDescent="0.25">
      <c r="A156" s="9">
        <f>SUBTOTAL(103,$F$1:F156)-1</f>
        <v>155</v>
      </c>
      <c r="B156" s="1" t="s">
        <v>1740</v>
      </c>
      <c r="C156" s="1" t="s">
        <v>1741</v>
      </c>
      <c r="D156" s="1" t="s">
        <v>1742</v>
      </c>
      <c r="E156" s="1" t="s">
        <v>1743</v>
      </c>
      <c r="F156" s="1" t="s">
        <v>1744</v>
      </c>
      <c r="G156" s="1" t="s">
        <v>1745</v>
      </c>
      <c r="H156" s="2" t="s">
        <v>1746</v>
      </c>
      <c r="I156" s="2" t="s">
        <v>1747</v>
      </c>
      <c r="J156" s="2" t="s">
        <v>1748</v>
      </c>
      <c r="K156" s="2" t="s">
        <v>1749</v>
      </c>
      <c r="L156" s="2" t="s">
        <v>1750</v>
      </c>
      <c r="M156" s="3">
        <v>2176843.2000000002</v>
      </c>
      <c r="N156" s="15">
        <v>45343</v>
      </c>
      <c r="O156" s="1">
        <v>878</v>
      </c>
      <c r="P156" s="1" t="s">
        <v>1751</v>
      </c>
      <c r="Q156" s="1" t="s">
        <v>35</v>
      </c>
      <c r="R156" s="1" t="s">
        <v>1752</v>
      </c>
      <c r="S156" s="1" t="s">
        <v>1753</v>
      </c>
      <c r="U156" s="1" t="s">
        <v>1754</v>
      </c>
      <c r="W156" s="1" t="s">
        <v>39</v>
      </c>
    </row>
    <row r="157" spans="1:23" ht="24.95" customHeight="1" x14ac:dyDescent="0.25">
      <c r="A157" s="9">
        <f>SUBTOTAL(103,$F$1:F157)-1</f>
        <v>156</v>
      </c>
      <c r="E157" s="1" t="s">
        <v>1755</v>
      </c>
      <c r="F157" s="1" t="s">
        <v>1756</v>
      </c>
      <c r="G157" s="1" t="s">
        <v>1757</v>
      </c>
      <c r="H157" s="2" t="s">
        <v>1758</v>
      </c>
      <c r="I157" s="2" t="s">
        <v>1759</v>
      </c>
      <c r="J157" s="2" t="s">
        <v>1760</v>
      </c>
      <c r="K157" s="2" t="s">
        <v>1761</v>
      </c>
      <c r="L157" s="2" t="s">
        <v>1762</v>
      </c>
      <c r="M157" s="3">
        <v>53678211.859999999</v>
      </c>
      <c r="N157" s="15">
        <v>45343</v>
      </c>
      <c r="O157" s="1">
        <v>44</v>
      </c>
      <c r="P157" s="1" t="s">
        <v>1763</v>
      </c>
      <c r="Q157" s="1" t="s">
        <v>35</v>
      </c>
      <c r="R157" s="1" t="s">
        <v>1764</v>
      </c>
      <c r="S157" s="1" t="s">
        <v>1765</v>
      </c>
      <c r="U157" s="1" t="s">
        <v>1766</v>
      </c>
      <c r="W157" s="1" t="s">
        <v>39</v>
      </c>
    </row>
    <row r="158" spans="1:23" ht="24.95" customHeight="1" x14ac:dyDescent="0.25">
      <c r="A158" s="9">
        <f>SUBTOTAL(103,$F$1:F158)-1</f>
        <v>157</v>
      </c>
      <c r="E158" s="1" t="s">
        <v>1767</v>
      </c>
      <c r="F158" s="1" t="s">
        <v>1768</v>
      </c>
      <c r="G158" s="1" t="s">
        <v>1232</v>
      </c>
      <c r="H158" s="2" t="s">
        <v>1233</v>
      </c>
      <c r="I158" s="2" t="s">
        <v>1769</v>
      </c>
      <c r="J158" s="2" t="s">
        <v>1770</v>
      </c>
      <c r="K158" s="2" t="s">
        <v>1771</v>
      </c>
      <c r="M158" s="3">
        <v>626357.75</v>
      </c>
      <c r="N158" s="15">
        <v>45344</v>
      </c>
      <c r="O158" s="1">
        <v>2</v>
      </c>
      <c r="P158" s="1" t="s">
        <v>1772</v>
      </c>
      <c r="Q158" s="1" t="s">
        <v>1548</v>
      </c>
      <c r="R158" s="1" t="s">
        <v>200</v>
      </c>
      <c r="S158" s="1" t="s">
        <v>1240</v>
      </c>
      <c r="U158" s="1" t="s">
        <v>1769</v>
      </c>
      <c r="W158" s="1" t="s">
        <v>39</v>
      </c>
    </row>
    <row r="159" spans="1:23" ht="24.95" customHeight="1" x14ac:dyDescent="0.25">
      <c r="A159" s="9">
        <f>SUBTOTAL(103,$F$1:F159)-1</f>
        <v>158</v>
      </c>
      <c r="E159" s="1" t="s">
        <v>1773</v>
      </c>
      <c r="F159" s="1" t="s">
        <v>1774</v>
      </c>
      <c r="G159" s="1" t="s">
        <v>1775</v>
      </c>
      <c r="H159" s="2" t="s">
        <v>1776</v>
      </c>
      <c r="I159" s="2" t="s">
        <v>1777</v>
      </c>
      <c r="J159" s="2" t="s">
        <v>1778</v>
      </c>
      <c r="K159" s="2" t="s">
        <v>1779</v>
      </c>
      <c r="M159" s="3">
        <v>4480068.58</v>
      </c>
      <c r="N159" s="15">
        <v>45344</v>
      </c>
      <c r="O159" s="1">
        <v>1</v>
      </c>
      <c r="P159" s="1" t="s">
        <v>1780</v>
      </c>
      <c r="Q159" s="1" t="s">
        <v>35</v>
      </c>
      <c r="R159" s="1" t="s">
        <v>1349</v>
      </c>
      <c r="S159" s="1" t="s">
        <v>1781</v>
      </c>
      <c r="U159" s="1" t="s">
        <v>1777</v>
      </c>
      <c r="W159" s="1" t="s">
        <v>39</v>
      </c>
    </row>
    <row r="160" spans="1:23" ht="24.95" customHeight="1" x14ac:dyDescent="0.25">
      <c r="A160" s="9">
        <f>SUBTOTAL(103,$F$1:F160)-1</f>
        <v>159</v>
      </c>
      <c r="B160" s="1" t="s">
        <v>1782</v>
      </c>
      <c r="C160" s="1" t="s">
        <v>1783</v>
      </c>
      <c r="D160" s="1" t="s">
        <v>1784</v>
      </c>
      <c r="E160" s="1" t="s">
        <v>1785</v>
      </c>
      <c r="F160" s="1" t="s">
        <v>1786</v>
      </c>
      <c r="G160" s="1" t="s">
        <v>1787</v>
      </c>
      <c r="H160" s="2" t="s">
        <v>1788</v>
      </c>
      <c r="I160" s="2" t="s">
        <v>1789</v>
      </c>
      <c r="J160" s="2" t="s">
        <v>1790</v>
      </c>
      <c r="K160" s="2" t="s">
        <v>1791</v>
      </c>
      <c r="L160" s="2" t="s">
        <v>1792</v>
      </c>
      <c r="M160" s="3">
        <v>899560</v>
      </c>
      <c r="N160" s="15">
        <v>45344</v>
      </c>
      <c r="O160" s="1">
        <v>514</v>
      </c>
      <c r="P160" s="1" t="s">
        <v>1793</v>
      </c>
      <c r="Q160" s="1" t="s">
        <v>35</v>
      </c>
      <c r="R160" s="1" t="s">
        <v>1794</v>
      </c>
      <c r="S160" s="1" t="s">
        <v>1795</v>
      </c>
      <c r="U160" s="1" t="s">
        <v>1796</v>
      </c>
      <c r="W160" s="1" t="s">
        <v>39</v>
      </c>
    </row>
    <row r="161" spans="1:23" ht="24.95" customHeight="1" x14ac:dyDescent="0.25">
      <c r="A161" s="9">
        <f>SUBTOTAL(103,$F$1:F161)-1</f>
        <v>160</v>
      </c>
      <c r="B161" s="1" t="s">
        <v>1797</v>
      </c>
      <c r="E161" s="1" t="s">
        <v>1798</v>
      </c>
      <c r="F161" s="1" t="s">
        <v>1799</v>
      </c>
      <c r="G161" s="1" t="s">
        <v>1800</v>
      </c>
      <c r="H161" s="2" t="s">
        <v>1801</v>
      </c>
      <c r="I161" s="2" t="s">
        <v>1802</v>
      </c>
      <c r="J161" s="2" t="s">
        <v>1803</v>
      </c>
      <c r="K161" s="2" t="s">
        <v>1804</v>
      </c>
      <c r="M161" s="3">
        <v>730016</v>
      </c>
      <c r="N161" s="15">
        <v>45344</v>
      </c>
      <c r="O161" s="1">
        <v>2</v>
      </c>
      <c r="P161" s="1" t="s">
        <v>1805</v>
      </c>
      <c r="Q161" s="1" t="s">
        <v>35</v>
      </c>
      <c r="R161" s="1" t="s">
        <v>1806</v>
      </c>
      <c r="S161" s="1" t="s">
        <v>1807</v>
      </c>
      <c r="U161" s="1" t="s">
        <v>1808</v>
      </c>
      <c r="W161" s="1" t="s">
        <v>39</v>
      </c>
    </row>
    <row r="162" spans="1:23" ht="24.95" customHeight="1" x14ac:dyDescent="0.25">
      <c r="A162" s="9">
        <f>SUBTOTAL(103,$F$1:F162)-1</f>
        <v>161</v>
      </c>
      <c r="E162" s="1" t="s">
        <v>1809</v>
      </c>
      <c r="F162" s="1" t="s">
        <v>1810</v>
      </c>
      <c r="G162" s="1" t="s">
        <v>1811</v>
      </c>
      <c r="H162" s="2" t="s">
        <v>1812</v>
      </c>
      <c r="I162" s="2" t="s">
        <v>1813</v>
      </c>
      <c r="J162" s="2" t="s">
        <v>1814</v>
      </c>
      <c r="K162" s="2" t="s">
        <v>1815</v>
      </c>
      <c r="L162" s="2" t="s">
        <v>1816</v>
      </c>
      <c r="M162" s="3">
        <v>872354.33</v>
      </c>
      <c r="N162" s="15">
        <v>45344</v>
      </c>
      <c r="O162" s="1">
        <v>14</v>
      </c>
      <c r="P162" s="1" t="s">
        <v>1817</v>
      </c>
      <c r="Q162" s="1" t="s">
        <v>1548</v>
      </c>
      <c r="R162" s="1" t="s">
        <v>224</v>
      </c>
      <c r="S162" s="1" t="s">
        <v>1818</v>
      </c>
      <c r="U162" s="1" t="s">
        <v>1819</v>
      </c>
      <c r="W162" s="1" t="s">
        <v>39</v>
      </c>
    </row>
    <row r="163" spans="1:23" ht="24.95" customHeight="1" x14ac:dyDescent="0.25">
      <c r="A163" s="9">
        <f>SUBTOTAL(103,$F$1:F163)-1</f>
        <v>162</v>
      </c>
      <c r="E163" s="1" t="s">
        <v>1820</v>
      </c>
      <c r="F163" s="1" t="s">
        <v>1821</v>
      </c>
      <c r="G163" s="1" t="s">
        <v>1822</v>
      </c>
      <c r="H163" s="2" t="s">
        <v>1823</v>
      </c>
      <c r="I163" s="2" t="s">
        <v>1824</v>
      </c>
      <c r="J163" s="2" t="s">
        <v>1825</v>
      </c>
      <c r="K163" s="2" t="s">
        <v>1826</v>
      </c>
      <c r="L163" s="2" t="s">
        <v>1827</v>
      </c>
      <c r="M163" s="3">
        <v>778012</v>
      </c>
      <c r="N163" s="15">
        <v>45344</v>
      </c>
      <c r="O163" s="1">
        <v>5</v>
      </c>
      <c r="P163" s="1" t="s">
        <v>1828</v>
      </c>
      <c r="Q163" s="1" t="s">
        <v>35</v>
      </c>
      <c r="R163" s="1" t="s">
        <v>224</v>
      </c>
      <c r="S163" s="1" t="s">
        <v>1829</v>
      </c>
      <c r="U163" s="1" t="s">
        <v>1830</v>
      </c>
      <c r="W163" s="1" t="s">
        <v>39</v>
      </c>
    </row>
    <row r="164" spans="1:23" ht="24.95" customHeight="1" x14ac:dyDescent="0.25">
      <c r="A164" s="9">
        <f>SUBTOTAL(103,$F$1:F164)-1</f>
        <v>163</v>
      </c>
      <c r="B164" s="1" t="s">
        <v>1831</v>
      </c>
      <c r="C164" s="1" t="s">
        <v>1832</v>
      </c>
      <c r="E164" s="1" t="s">
        <v>1833</v>
      </c>
      <c r="F164" s="1" t="s">
        <v>1834</v>
      </c>
      <c r="G164" s="1" t="s">
        <v>1835</v>
      </c>
      <c r="H164" s="2" t="s">
        <v>1836</v>
      </c>
      <c r="I164" s="2" t="s">
        <v>1837</v>
      </c>
      <c r="J164" s="2" t="s">
        <v>1838</v>
      </c>
      <c r="K164" s="2" t="s">
        <v>1839</v>
      </c>
      <c r="L164" s="2" t="s">
        <v>1840</v>
      </c>
      <c r="M164" s="3">
        <v>18136924.73</v>
      </c>
      <c r="N164" s="15">
        <v>45344</v>
      </c>
      <c r="O164" s="1">
        <v>183</v>
      </c>
      <c r="P164" s="1" t="s">
        <v>1841</v>
      </c>
      <c r="Q164" s="1" t="s">
        <v>35</v>
      </c>
      <c r="R164" s="1" t="s">
        <v>302</v>
      </c>
      <c r="S164" s="1" t="s">
        <v>1842</v>
      </c>
      <c r="U164" s="1" t="s">
        <v>1843</v>
      </c>
      <c r="W164" s="1" t="s">
        <v>39</v>
      </c>
    </row>
    <row r="165" spans="1:23" ht="24.95" customHeight="1" x14ac:dyDescent="0.25">
      <c r="A165" s="9">
        <f>SUBTOTAL(103,$F$1:F165)-1</f>
        <v>164</v>
      </c>
      <c r="E165" s="1" t="s">
        <v>1844</v>
      </c>
      <c r="F165" s="1" t="s">
        <v>1845</v>
      </c>
      <c r="G165" s="1" t="s">
        <v>1846</v>
      </c>
      <c r="H165" s="2" t="s">
        <v>1847</v>
      </c>
      <c r="I165" s="2" t="s">
        <v>1848</v>
      </c>
      <c r="J165" s="2" t="s">
        <v>1849</v>
      </c>
      <c r="K165" s="2" t="s">
        <v>1850</v>
      </c>
      <c r="L165" s="2" t="s">
        <v>1851</v>
      </c>
      <c r="M165" s="3">
        <v>753857</v>
      </c>
      <c r="N165" s="15">
        <v>45344</v>
      </c>
      <c r="O165" s="1">
        <v>3</v>
      </c>
      <c r="P165" s="1" t="s">
        <v>1852</v>
      </c>
      <c r="Q165" s="1" t="s">
        <v>35</v>
      </c>
      <c r="R165" s="1" t="s">
        <v>1853</v>
      </c>
      <c r="S165" s="1" t="s">
        <v>1846</v>
      </c>
      <c r="U165" s="1" t="s">
        <v>1854</v>
      </c>
      <c r="W165" s="1" t="s">
        <v>39</v>
      </c>
    </row>
    <row r="166" spans="1:23" ht="24.95" customHeight="1" x14ac:dyDescent="0.25">
      <c r="A166" s="9">
        <f>SUBTOTAL(103,$F$1:F166)-1</f>
        <v>165</v>
      </c>
      <c r="C166" s="1" t="s">
        <v>1855</v>
      </c>
      <c r="E166" s="1" t="s">
        <v>1856</v>
      </c>
      <c r="F166" s="1" t="s">
        <v>1857</v>
      </c>
      <c r="G166" s="1" t="s">
        <v>1858</v>
      </c>
      <c r="H166" s="2" t="s">
        <v>1859</v>
      </c>
      <c r="I166" s="2" t="s">
        <v>1860</v>
      </c>
      <c r="J166" s="2" t="s">
        <v>1861</v>
      </c>
      <c r="K166" s="2" t="s">
        <v>347</v>
      </c>
      <c r="L166" s="2" t="s">
        <v>1862</v>
      </c>
      <c r="M166" s="3">
        <v>5861908766.6999998</v>
      </c>
      <c r="N166" s="15">
        <v>45344</v>
      </c>
      <c r="O166" s="1">
        <v>220</v>
      </c>
      <c r="P166" s="1" t="s">
        <v>1863</v>
      </c>
      <c r="Q166" s="1" t="s">
        <v>35</v>
      </c>
      <c r="R166" s="1" t="s">
        <v>728</v>
      </c>
      <c r="S166" s="1" t="s">
        <v>1864</v>
      </c>
      <c r="U166" s="1" t="s">
        <v>1865</v>
      </c>
      <c r="W166" s="1" t="s">
        <v>39</v>
      </c>
    </row>
    <row r="167" spans="1:23" ht="24.95" customHeight="1" x14ac:dyDescent="0.25">
      <c r="A167" s="9">
        <f>SUBTOTAL(103,$F$1:F167)-1</f>
        <v>166</v>
      </c>
      <c r="E167" s="1" t="s">
        <v>1844</v>
      </c>
      <c r="F167" s="1" t="s">
        <v>1845</v>
      </c>
      <c r="G167" s="1" t="s">
        <v>1846</v>
      </c>
      <c r="H167" s="2" t="s">
        <v>1847</v>
      </c>
      <c r="I167" s="2" t="s">
        <v>1866</v>
      </c>
      <c r="J167" s="2" t="s">
        <v>1867</v>
      </c>
      <c r="K167" s="2" t="s">
        <v>1868</v>
      </c>
      <c r="L167" s="2" t="s">
        <v>1869</v>
      </c>
      <c r="M167" s="3">
        <v>753857</v>
      </c>
      <c r="N167" s="15">
        <v>45344</v>
      </c>
      <c r="O167" s="1">
        <v>4</v>
      </c>
      <c r="P167" s="1" t="s">
        <v>1870</v>
      </c>
      <c r="Q167" s="1" t="s">
        <v>35</v>
      </c>
      <c r="R167" s="1" t="s">
        <v>1871</v>
      </c>
      <c r="S167" s="1" t="s">
        <v>1846</v>
      </c>
      <c r="U167" s="1" t="s">
        <v>1872</v>
      </c>
      <c r="W167" s="1" t="s">
        <v>39</v>
      </c>
    </row>
    <row r="168" spans="1:23" ht="24.95" customHeight="1" x14ac:dyDescent="0.25">
      <c r="A168" s="9">
        <f>SUBTOTAL(103,$F$1:F168)-1</f>
        <v>167</v>
      </c>
      <c r="C168" s="1" t="s">
        <v>1151</v>
      </c>
      <c r="E168" s="1" t="s">
        <v>1873</v>
      </c>
      <c r="F168" s="1" t="s">
        <v>1874</v>
      </c>
      <c r="G168" s="1" t="s">
        <v>1875</v>
      </c>
      <c r="H168" s="2" t="s">
        <v>1876</v>
      </c>
      <c r="I168" s="2" t="s">
        <v>1156</v>
      </c>
      <c r="J168" s="2" t="s">
        <v>1157</v>
      </c>
      <c r="K168" s="2" t="s">
        <v>1158</v>
      </c>
      <c r="L168" s="2" t="s">
        <v>1159</v>
      </c>
      <c r="M168" s="3">
        <v>5837106.0599999996</v>
      </c>
      <c r="N168" s="15">
        <v>45344</v>
      </c>
      <c r="O168" s="1">
        <v>25</v>
      </c>
      <c r="P168" s="1" t="s">
        <v>1160</v>
      </c>
      <c r="Q168" s="1" t="s">
        <v>35</v>
      </c>
      <c r="R168" s="1" t="s">
        <v>1161</v>
      </c>
      <c r="S168" s="1" t="s">
        <v>1877</v>
      </c>
      <c r="U168" s="1" t="s">
        <v>1163</v>
      </c>
      <c r="W168" s="1" t="s">
        <v>39</v>
      </c>
    </row>
    <row r="169" spans="1:23" ht="24.95" customHeight="1" x14ac:dyDescent="0.25">
      <c r="A169" s="9">
        <f>SUBTOTAL(103,$F$1:F169)-1</f>
        <v>168</v>
      </c>
      <c r="B169" s="1" t="s">
        <v>54</v>
      </c>
      <c r="C169" s="1" t="s">
        <v>55</v>
      </c>
      <c r="D169" s="1" t="s">
        <v>56</v>
      </c>
      <c r="E169" s="1" t="s">
        <v>1878</v>
      </c>
      <c r="F169" s="1" t="s">
        <v>1879</v>
      </c>
      <c r="G169" s="1" t="s">
        <v>1227</v>
      </c>
      <c r="H169" s="2" t="s">
        <v>1228</v>
      </c>
      <c r="I169" s="2" t="s">
        <v>61</v>
      </c>
      <c r="J169" s="2" t="s">
        <v>62</v>
      </c>
      <c r="K169" s="2" t="s">
        <v>63</v>
      </c>
      <c r="L169" s="2" t="s">
        <v>64</v>
      </c>
      <c r="M169" s="3">
        <v>1024726.32</v>
      </c>
      <c r="N169" s="15">
        <v>45344</v>
      </c>
      <c r="O169" s="1">
        <v>220469</v>
      </c>
      <c r="P169" s="1" t="s">
        <v>65</v>
      </c>
      <c r="Q169" s="1" t="s">
        <v>35</v>
      </c>
      <c r="R169" s="1" t="s">
        <v>66</v>
      </c>
      <c r="S169" s="1" t="s">
        <v>1229</v>
      </c>
      <c r="U169" s="1" t="s">
        <v>68</v>
      </c>
      <c r="W169" s="1" t="s">
        <v>39</v>
      </c>
    </row>
    <row r="170" spans="1:23" ht="24.95" customHeight="1" x14ac:dyDescent="0.25">
      <c r="A170" s="9">
        <f>SUBTOTAL(103,$F$1:F170)-1</f>
        <v>169</v>
      </c>
      <c r="B170" s="1" t="s">
        <v>777</v>
      </c>
      <c r="C170" s="1" t="s">
        <v>778</v>
      </c>
      <c r="E170" s="1" t="s">
        <v>1880</v>
      </c>
      <c r="F170" s="1" t="s">
        <v>1881</v>
      </c>
      <c r="G170" s="1" t="s">
        <v>1882</v>
      </c>
      <c r="H170" s="2" t="s">
        <v>1883</v>
      </c>
      <c r="I170" s="2" t="s">
        <v>783</v>
      </c>
      <c r="J170" s="2" t="s">
        <v>784</v>
      </c>
      <c r="K170" s="2" t="s">
        <v>785</v>
      </c>
      <c r="L170" s="2" t="s">
        <v>786</v>
      </c>
      <c r="M170" s="3">
        <v>1112335.17</v>
      </c>
      <c r="N170" s="15">
        <v>45344</v>
      </c>
      <c r="O170" s="1">
        <v>637</v>
      </c>
      <c r="P170" s="1" t="s">
        <v>787</v>
      </c>
      <c r="Q170" s="1" t="s">
        <v>35</v>
      </c>
      <c r="R170" s="1" t="s">
        <v>389</v>
      </c>
      <c r="S170" s="1" t="s">
        <v>1884</v>
      </c>
      <c r="U170" s="1" t="s">
        <v>789</v>
      </c>
      <c r="W170" s="1" t="s">
        <v>39</v>
      </c>
    </row>
    <row r="171" spans="1:23" ht="24.95" customHeight="1" x14ac:dyDescent="0.25">
      <c r="A171" s="9">
        <f>SUBTOTAL(103,$F$1:F171)-1</f>
        <v>170</v>
      </c>
      <c r="C171" s="1" t="s">
        <v>1885</v>
      </c>
      <c r="E171" s="1" t="s">
        <v>1886</v>
      </c>
      <c r="F171" s="1" t="s">
        <v>1887</v>
      </c>
      <c r="G171" s="1" t="s">
        <v>1888</v>
      </c>
      <c r="H171" s="2" t="s">
        <v>1889</v>
      </c>
      <c r="I171" s="2" t="s">
        <v>1890</v>
      </c>
      <c r="J171" s="2" t="s">
        <v>1891</v>
      </c>
      <c r="K171" s="2" t="s">
        <v>1892</v>
      </c>
      <c r="L171" s="2" t="s">
        <v>1893</v>
      </c>
      <c r="M171" s="3">
        <v>605148.36</v>
      </c>
      <c r="N171" s="15">
        <v>45344</v>
      </c>
      <c r="O171" s="1">
        <v>9</v>
      </c>
      <c r="P171" s="1" t="s">
        <v>1894</v>
      </c>
      <c r="Q171" s="1" t="s">
        <v>35</v>
      </c>
      <c r="R171" s="1" t="s">
        <v>1895</v>
      </c>
      <c r="S171" s="1" t="s">
        <v>1896</v>
      </c>
      <c r="U171" s="1" t="s">
        <v>1897</v>
      </c>
      <c r="W171" s="1" t="s">
        <v>270</v>
      </c>
    </row>
    <row r="172" spans="1:23" ht="24.95" customHeight="1" x14ac:dyDescent="0.25">
      <c r="A172" s="9">
        <f>SUBTOTAL(103,$F$1:F172)-1</f>
        <v>171</v>
      </c>
      <c r="B172" s="1" t="s">
        <v>1898</v>
      </c>
      <c r="E172" s="1" t="s">
        <v>1886</v>
      </c>
      <c r="F172" s="1" t="s">
        <v>1887</v>
      </c>
      <c r="G172" s="1" t="s">
        <v>1888</v>
      </c>
      <c r="H172" s="2" t="s">
        <v>1889</v>
      </c>
      <c r="I172" s="2" t="s">
        <v>1899</v>
      </c>
      <c r="J172" s="2" t="s">
        <v>1900</v>
      </c>
      <c r="K172" s="2" t="s">
        <v>1901</v>
      </c>
      <c r="L172" s="2" t="s">
        <v>1902</v>
      </c>
      <c r="M172" s="3">
        <v>605148.36</v>
      </c>
      <c r="N172" s="15">
        <v>45344</v>
      </c>
      <c r="O172" s="1">
        <v>2</v>
      </c>
      <c r="P172" s="1" t="s">
        <v>1903</v>
      </c>
      <c r="Q172" s="1" t="s">
        <v>35</v>
      </c>
      <c r="R172" s="1" t="s">
        <v>1895</v>
      </c>
      <c r="S172" s="1" t="s">
        <v>1896</v>
      </c>
      <c r="U172" s="1" t="s">
        <v>1904</v>
      </c>
      <c r="W172" s="1" t="s">
        <v>270</v>
      </c>
    </row>
    <row r="173" spans="1:23" ht="24.95" customHeight="1" x14ac:dyDescent="0.25">
      <c r="A173" s="9">
        <f>SUBTOTAL(103,$F$1:F173)-1</f>
        <v>172</v>
      </c>
      <c r="B173" s="1" t="s">
        <v>54</v>
      </c>
      <c r="C173" s="1" t="s">
        <v>55</v>
      </c>
      <c r="D173" s="1" t="s">
        <v>56</v>
      </c>
      <c r="E173" s="1" t="s">
        <v>1905</v>
      </c>
      <c r="F173" s="1" t="s">
        <v>1906</v>
      </c>
      <c r="G173" s="1" t="s">
        <v>1706</v>
      </c>
      <c r="H173" s="2" t="s">
        <v>1707</v>
      </c>
      <c r="I173" s="2" t="s">
        <v>61</v>
      </c>
      <c r="J173" s="2" t="s">
        <v>62</v>
      </c>
      <c r="K173" s="2" t="s">
        <v>63</v>
      </c>
      <c r="L173" s="2" t="s">
        <v>64</v>
      </c>
      <c r="M173" s="3">
        <v>13039525.859999999</v>
      </c>
      <c r="N173" s="15">
        <v>45344</v>
      </c>
      <c r="O173" s="1">
        <v>220469</v>
      </c>
      <c r="P173" s="1" t="s">
        <v>65</v>
      </c>
      <c r="Q173" s="1" t="s">
        <v>35</v>
      </c>
      <c r="R173" s="1" t="s">
        <v>66</v>
      </c>
      <c r="S173" s="1" t="s">
        <v>1708</v>
      </c>
      <c r="U173" s="1" t="s">
        <v>68</v>
      </c>
      <c r="W173" s="1" t="s">
        <v>39</v>
      </c>
    </row>
    <row r="174" spans="1:23" ht="24.95" customHeight="1" x14ac:dyDescent="0.25">
      <c r="A174" s="9">
        <f>SUBTOTAL(103,$F$1:F174)-1</f>
        <v>173</v>
      </c>
      <c r="B174" s="1" t="s">
        <v>1907</v>
      </c>
      <c r="C174" s="1" t="s">
        <v>1908</v>
      </c>
      <c r="D174" s="1" t="s">
        <v>1909</v>
      </c>
      <c r="E174" s="1" t="s">
        <v>1910</v>
      </c>
      <c r="F174" s="1" t="s">
        <v>1911</v>
      </c>
      <c r="G174" s="1" t="s">
        <v>1912</v>
      </c>
      <c r="H174" s="2" t="s">
        <v>1913</v>
      </c>
      <c r="I174" s="2" t="s">
        <v>1914</v>
      </c>
      <c r="J174" s="2" t="s">
        <v>1915</v>
      </c>
      <c r="K174" s="2" t="s">
        <v>347</v>
      </c>
      <c r="M174" s="3">
        <v>20992588.91</v>
      </c>
      <c r="N174" s="15">
        <v>45344</v>
      </c>
      <c r="O174" s="1">
        <v>261</v>
      </c>
      <c r="P174" s="1" t="s">
        <v>1916</v>
      </c>
      <c r="Q174" s="1" t="s">
        <v>1548</v>
      </c>
      <c r="R174" s="1" t="s">
        <v>159</v>
      </c>
      <c r="S174" s="1" t="s">
        <v>1917</v>
      </c>
      <c r="U174" s="1" t="s">
        <v>1918</v>
      </c>
      <c r="W174" s="1" t="s">
        <v>39</v>
      </c>
    </row>
    <row r="175" spans="1:23" ht="24.95" customHeight="1" x14ac:dyDescent="0.25">
      <c r="A175" s="9">
        <f>SUBTOTAL(103,$F$1:F175)-1</f>
        <v>174</v>
      </c>
      <c r="E175" s="1" t="s">
        <v>1919</v>
      </c>
      <c r="F175" s="1" t="s">
        <v>1920</v>
      </c>
      <c r="G175" s="1" t="s">
        <v>1921</v>
      </c>
      <c r="H175" s="2" t="s">
        <v>1922</v>
      </c>
      <c r="I175" s="2" t="s">
        <v>1923</v>
      </c>
      <c r="J175" s="2" t="s">
        <v>1924</v>
      </c>
      <c r="K175" s="2" t="s">
        <v>1925</v>
      </c>
      <c r="L175" s="2" t="s">
        <v>1924</v>
      </c>
      <c r="M175" s="3">
        <v>963626</v>
      </c>
      <c r="N175" s="15">
        <v>45344</v>
      </c>
      <c r="O175" s="1">
        <v>23</v>
      </c>
      <c r="P175" s="1" t="s">
        <v>1926</v>
      </c>
      <c r="Q175" s="1" t="s">
        <v>1548</v>
      </c>
      <c r="R175" s="1" t="s">
        <v>1927</v>
      </c>
      <c r="S175" s="1" t="s">
        <v>1921</v>
      </c>
      <c r="U175" s="1" t="s">
        <v>1923</v>
      </c>
      <c r="W175" s="1" t="s">
        <v>39</v>
      </c>
    </row>
    <row r="176" spans="1:23" ht="24.95" customHeight="1" x14ac:dyDescent="0.25">
      <c r="A176" s="9">
        <f>SUBTOTAL(103,$F$1:F176)-1</f>
        <v>175</v>
      </c>
      <c r="E176" s="1" t="s">
        <v>1928</v>
      </c>
      <c r="F176" s="1" t="s">
        <v>1929</v>
      </c>
      <c r="G176" s="1" t="s">
        <v>96</v>
      </c>
      <c r="H176" s="2" t="s">
        <v>97</v>
      </c>
      <c r="I176" s="2" t="s">
        <v>1930</v>
      </c>
      <c r="J176" s="2" t="s">
        <v>1931</v>
      </c>
      <c r="K176" s="2" t="s">
        <v>1932</v>
      </c>
      <c r="L176" s="2" t="s">
        <v>1931</v>
      </c>
      <c r="M176" s="3">
        <v>1014985.66</v>
      </c>
      <c r="N176" s="15">
        <v>45344</v>
      </c>
      <c r="O176" s="1">
        <v>16</v>
      </c>
      <c r="P176" s="1" t="s">
        <v>1933</v>
      </c>
      <c r="Q176" s="1" t="s">
        <v>1548</v>
      </c>
      <c r="R176" s="1" t="s">
        <v>524</v>
      </c>
      <c r="S176" s="1" t="s">
        <v>104</v>
      </c>
      <c r="U176" s="1" t="s">
        <v>1930</v>
      </c>
      <c r="W176" s="1" t="s">
        <v>39</v>
      </c>
    </row>
    <row r="177" spans="1:23" ht="24.95" customHeight="1" x14ac:dyDescent="0.25">
      <c r="A177" s="9">
        <f>SUBTOTAL(103,$F$1:F177)-1</f>
        <v>176</v>
      </c>
      <c r="B177" s="1" t="s">
        <v>1934</v>
      </c>
      <c r="C177" s="1" t="s">
        <v>1935</v>
      </c>
      <c r="E177" s="1" t="s">
        <v>1936</v>
      </c>
      <c r="F177" s="1" t="s">
        <v>1937</v>
      </c>
      <c r="G177" s="1" t="s">
        <v>167</v>
      </c>
      <c r="H177" s="2" t="s">
        <v>168</v>
      </c>
      <c r="I177" s="2" t="s">
        <v>1938</v>
      </c>
      <c r="J177" s="2" t="s">
        <v>1939</v>
      </c>
      <c r="K177" s="2" t="s">
        <v>1940</v>
      </c>
      <c r="L177" s="2" t="s">
        <v>1941</v>
      </c>
      <c r="M177" s="3">
        <v>1041088.68</v>
      </c>
      <c r="N177" s="15">
        <v>45344</v>
      </c>
      <c r="O177" s="1">
        <v>181</v>
      </c>
      <c r="P177" s="1" t="s">
        <v>1942</v>
      </c>
      <c r="Q177" s="1" t="s">
        <v>1548</v>
      </c>
      <c r="R177" s="1" t="s">
        <v>1943</v>
      </c>
      <c r="S177" s="1" t="s">
        <v>175</v>
      </c>
      <c r="U177" s="1" t="s">
        <v>1944</v>
      </c>
      <c r="W177" s="1" t="s">
        <v>39</v>
      </c>
    </row>
    <row r="178" spans="1:23" ht="24.95" customHeight="1" x14ac:dyDescent="0.25">
      <c r="A178" s="9">
        <f>SUBTOTAL(103,$F$1:F178)-1</f>
        <v>177</v>
      </c>
      <c r="C178" s="1" t="s">
        <v>1945</v>
      </c>
      <c r="D178" s="1" t="s">
        <v>1946</v>
      </c>
      <c r="E178" s="1" t="s">
        <v>1947</v>
      </c>
      <c r="F178" s="1" t="s">
        <v>1948</v>
      </c>
      <c r="G178" s="1" t="s">
        <v>167</v>
      </c>
      <c r="H178" s="2" t="s">
        <v>168</v>
      </c>
      <c r="I178" s="2" t="s">
        <v>1949</v>
      </c>
      <c r="J178" s="2" t="s">
        <v>1950</v>
      </c>
      <c r="K178" s="2" t="s">
        <v>1951</v>
      </c>
      <c r="L178" s="2" t="s">
        <v>1952</v>
      </c>
      <c r="M178" s="3">
        <v>506274.65</v>
      </c>
      <c r="N178" s="15">
        <v>45344</v>
      </c>
      <c r="O178" s="1">
        <v>100</v>
      </c>
      <c r="P178" s="1" t="s">
        <v>1953</v>
      </c>
      <c r="Q178" s="1" t="s">
        <v>1548</v>
      </c>
      <c r="R178" s="1" t="s">
        <v>302</v>
      </c>
      <c r="S178" s="1" t="s">
        <v>175</v>
      </c>
      <c r="U178" s="1" t="s">
        <v>1954</v>
      </c>
      <c r="W178" s="1" t="s">
        <v>39</v>
      </c>
    </row>
    <row r="179" spans="1:23" ht="24.95" customHeight="1" x14ac:dyDescent="0.25">
      <c r="A179" s="9">
        <f>SUBTOTAL(103,$F$1:F179)-1</f>
        <v>178</v>
      </c>
      <c r="B179" s="1" t="s">
        <v>1955</v>
      </c>
      <c r="C179" s="1" t="s">
        <v>1956</v>
      </c>
      <c r="E179" s="1" t="s">
        <v>1957</v>
      </c>
      <c r="F179" s="1" t="s">
        <v>1958</v>
      </c>
      <c r="G179" s="1" t="s">
        <v>167</v>
      </c>
      <c r="H179" s="2" t="s">
        <v>168</v>
      </c>
      <c r="I179" s="2" t="s">
        <v>1959</v>
      </c>
      <c r="J179" s="2" t="s">
        <v>1960</v>
      </c>
      <c r="K179" s="2" t="s">
        <v>1961</v>
      </c>
      <c r="L179" s="2" t="s">
        <v>1962</v>
      </c>
      <c r="M179" s="3">
        <v>12543660.689999999</v>
      </c>
      <c r="N179" s="15">
        <v>45344</v>
      </c>
      <c r="O179" s="1">
        <v>278</v>
      </c>
      <c r="P179" s="1" t="s">
        <v>1963</v>
      </c>
      <c r="Q179" s="1" t="s">
        <v>1548</v>
      </c>
      <c r="R179" s="1" t="s">
        <v>1964</v>
      </c>
      <c r="S179" s="1" t="s">
        <v>175</v>
      </c>
      <c r="U179" s="1" t="s">
        <v>1965</v>
      </c>
      <c r="W179" s="1" t="s">
        <v>39</v>
      </c>
    </row>
    <row r="180" spans="1:23" ht="24.95" customHeight="1" x14ac:dyDescent="0.25">
      <c r="A180" s="9">
        <f>SUBTOTAL(103,$F$1:F180)-1</f>
        <v>179</v>
      </c>
      <c r="B180" s="1" t="s">
        <v>1966</v>
      </c>
      <c r="C180" s="1" t="s">
        <v>1967</v>
      </c>
      <c r="E180" s="1" t="s">
        <v>1968</v>
      </c>
      <c r="F180" s="1" t="s">
        <v>1969</v>
      </c>
      <c r="G180" s="1" t="s">
        <v>167</v>
      </c>
      <c r="H180" s="2" t="s">
        <v>168</v>
      </c>
      <c r="I180" s="2" t="s">
        <v>1970</v>
      </c>
      <c r="J180" s="2" t="s">
        <v>1971</v>
      </c>
      <c r="K180" s="2" t="s">
        <v>1972</v>
      </c>
      <c r="L180" s="2" t="s">
        <v>1973</v>
      </c>
      <c r="M180" s="3">
        <v>986344.44</v>
      </c>
      <c r="N180" s="15">
        <v>45344</v>
      </c>
      <c r="O180" s="1">
        <v>573</v>
      </c>
      <c r="P180" s="1" t="s">
        <v>1974</v>
      </c>
      <c r="Q180" s="1" t="s">
        <v>1548</v>
      </c>
      <c r="R180" s="1" t="s">
        <v>174</v>
      </c>
      <c r="S180" s="1" t="s">
        <v>175</v>
      </c>
      <c r="U180" s="1" t="s">
        <v>1975</v>
      </c>
      <c r="W180" s="1" t="s">
        <v>39</v>
      </c>
    </row>
    <row r="181" spans="1:23" ht="24.95" customHeight="1" x14ac:dyDescent="0.25">
      <c r="A181" s="9">
        <f>SUBTOTAL(103,$F$1:F181)-1</f>
        <v>180</v>
      </c>
      <c r="B181" s="1" t="s">
        <v>1966</v>
      </c>
      <c r="C181" s="1" t="s">
        <v>1967</v>
      </c>
      <c r="E181" s="1" t="s">
        <v>1976</v>
      </c>
      <c r="F181" s="1" t="s">
        <v>1977</v>
      </c>
      <c r="G181" s="1" t="s">
        <v>167</v>
      </c>
      <c r="H181" s="2" t="s">
        <v>168</v>
      </c>
      <c r="I181" s="2" t="s">
        <v>1970</v>
      </c>
      <c r="J181" s="2" t="s">
        <v>1971</v>
      </c>
      <c r="K181" s="2" t="s">
        <v>1972</v>
      </c>
      <c r="L181" s="2" t="s">
        <v>1973</v>
      </c>
      <c r="M181" s="3">
        <v>734323.62</v>
      </c>
      <c r="N181" s="15">
        <v>45344</v>
      </c>
      <c r="O181" s="1">
        <v>573</v>
      </c>
      <c r="P181" s="1" t="s">
        <v>1974</v>
      </c>
      <c r="Q181" s="1" t="s">
        <v>1548</v>
      </c>
      <c r="R181" s="1" t="s">
        <v>174</v>
      </c>
      <c r="S181" s="1" t="s">
        <v>175</v>
      </c>
      <c r="U181" s="1" t="s">
        <v>1975</v>
      </c>
      <c r="W181" s="1" t="s">
        <v>39</v>
      </c>
    </row>
    <row r="182" spans="1:23" ht="24.95" customHeight="1" x14ac:dyDescent="0.25">
      <c r="A182" s="9">
        <f>SUBTOTAL(103,$F$1:F182)-1</f>
        <v>181</v>
      </c>
      <c r="C182" s="1" t="s">
        <v>1978</v>
      </c>
      <c r="E182" s="1" t="s">
        <v>1979</v>
      </c>
      <c r="F182" s="1" t="s">
        <v>1980</v>
      </c>
      <c r="G182" s="1" t="s">
        <v>167</v>
      </c>
      <c r="H182" s="2" t="s">
        <v>168</v>
      </c>
      <c r="I182" s="2" t="s">
        <v>1981</v>
      </c>
      <c r="J182" s="2" t="s">
        <v>1982</v>
      </c>
      <c r="K182" s="2" t="s">
        <v>1983</v>
      </c>
      <c r="L182" s="2" t="s">
        <v>1984</v>
      </c>
      <c r="M182" s="3">
        <v>2405350.87</v>
      </c>
      <c r="N182" s="15">
        <v>45344</v>
      </c>
      <c r="O182" s="1">
        <v>6</v>
      </c>
      <c r="P182" s="1" t="s">
        <v>1985</v>
      </c>
      <c r="Q182" s="1" t="s">
        <v>1548</v>
      </c>
      <c r="R182" s="1" t="s">
        <v>1986</v>
      </c>
      <c r="S182" s="1" t="s">
        <v>175</v>
      </c>
      <c r="U182" s="1" t="s">
        <v>1987</v>
      </c>
      <c r="W182" s="1" t="s">
        <v>39</v>
      </c>
    </row>
    <row r="183" spans="1:23" ht="24.95" customHeight="1" x14ac:dyDescent="0.25">
      <c r="A183" s="9">
        <f>SUBTOTAL(103,$F$1:F183)-1</f>
        <v>182</v>
      </c>
      <c r="E183" s="1" t="s">
        <v>1988</v>
      </c>
      <c r="F183" s="1" t="s">
        <v>1989</v>
      </c>
      <c r="G183" s="1" t="s">
        <v>1990</v>
      </c>
      <c r="H183" s="2" t="s">
        <v>1991</v>
      </c>
      <c r="I183" s="2" t="s">
        <v>1992</v>
      </c>
      <c r="J183" s="2" t="s">
        <v>1993</v>
      </c>
      <c r="K183" s="2" t="s">
        <v>1994</v>
      </c>
      <c r="L183" s="2" t="s">
        <v>1995</v>
      </c>
      <c r="M183" s="3">
        <v>951191.9</v>
      </c>
      <c r="N183" s="15">
        <v>45344</v>
      </c>
      <c r="O183" s="1">
        <v>3</v>
      </c>
      <c r="P183" s="1" t="s">
        <v>1996</v>
      </c>
      <c r="Q183" s="1" t="s">
        <v>1548</v>
      </c>
      <c r="R183" s="1" t="s">
        <v>224</v>
      </c>
      <c r="S183" s="1" t="s">
        <v>1997</v>
      </c>
      <c r="U183" s="1" t="s">
        <v>1998</v>
      </c>
      <c r="W183" s="1" t="s">
        <v>39</v>
      </c>
    </row>
    <row r="184" spans="1:23" ht="24.95" customHeight="1" x14ac:dyDescent="0.25">
      <c r="A184" s="9">
        <f>SUBTOTAL(103,$F$1:F184)-1</f>
        <v>183</v>
      </c>
      <c r="B184" s="1" t="s">
        <v>1999</v>
      </c>
      <c r="C184" s="1" t="s">
        <v>2000</v>
      </c>
      <c r="D184" s="1" t="s">
        <v>2001</v>
      </c>
      <c r="E184" s="1" t="s">
        <v>2002</v>
      </c>
      <c r="F184" s="1" t="s">
        <v>2003</v>
      </c>
      <c r="G184" s="1" t="s">
        <v>2004</v>
      </c>
      <c r="H184" s="2" t="s">
        <v>2005</v>
      </c>
      <c r="I184" s="2" t="s">
        <v>2006</v>
      </c>
      <c r="J184" s="2" t="s">
        <v>2007</v>
      </c>
      <c r="K184" s="2" t="s">
        <v>2008</v>
      </c>
      <c r="L184" s="2" t="s">
        <v>2009</v>
      </c>
      <c r="M184" s="3">
        <v>3300000</v>
      </c>
      <c r="N184" s="15">
        <v>45344</v>
      </c>
      <c r="O184" s="1">
        <v>383</v>
      </c>
      <c r="P184" s="1" t="s">
        <v>2010</v>
      </c>
      <c r="Q184" s="1" t="s">
        <v>1548</v>
      </c>
      <c r="R184" s="1" t="s">
        <v>251</v>
      </c>
      <c r="S184" s="1" t="s">
        <v>2011</v>
      </c>
      <c r="U184" s="1" t="s">
        <v>2012</v>
      </c>
      <c r="W184" s="1" t="s">
        <v>39</v>
      </c>
    </row>
    <row r="185" spans="1:23" ht="24.95" customHeight="1" x14ac:dyDescent="0.25">
      <c r="A185" s="9">
        <f>SUBTOTAL(103,$F$1:F185)-1</f>
        <v>184</v>
      </c>
      <c r="E185" s="1" t="s">
        <v>2013</v>
      </c>
      <c r="F185" s="1" t="s">
        <v>2014</v>
      </c>
      <c r="G185" s="1" t="s">
        <v>2015</v>
      </c>
      <c r="H185" s="2" t="s">
        <v>2016</v>
      </c>
      <c r="I185" s="2" t="s">
        <v>2017</v>
      </c>
      <c r="J185" s="2" t="s">
        <v>2018</v>
      </c>
      <c r="K185" s="2" t="s">
        <v>2019</v>
      </c>
      <c r="L185" s="2" t="s">
        <v>2018</v>
      </c>
      <c r="M185" s="3">
        <v>2567744.2799999998</v>
      </c>
      <c r="N185" s="15">
        <v>45344</v>
      </c>
      <c r="O185" s="1">
        <v>2</v>
      </c>
      <c r="P185" s="1" t="s">
        <v>2020</v>
      </c>
      <c r="Q185" s="1" t="s">
        <v>1548</v>
      </c>
      <c r="R185" s="1" t="s">
        <v>103</v>
      </c>
      <c r="S185" s="1" t="s">
        <v>2021</v>
      </c>
      <c r="U185" s="1" t="s">
        <v>2017</v>
      </c>
      <c r="W185" s="1" t="s">
        <v>39</v>
      </c>
    </row>
    <row r="186" spans="1:23" ht="24.95" customHeight="1" x14ac:dyDescent="0.25">
      <c r="A186" s="9">
        <f>SUBTOTAL(103,$F$1:F186)-1</f>
        <v>185</v>
      </c>
      <c r="B186" s="1" t="s">
        <v>54</v>
      </c>
      <c r="C186" s="1" t="s">
        <v>55</v>
      </c>
      <c r="D186" s="1" t="s">
        <v>56</v>
      </c>
      <c r="E186" s="1" t="s">
        <v>2022</v>
      </c>
      <c r="F186" s="1" t="s">
        <v>2023</v>
      </c>
      <c r="G186" s="1" t="s">
        <v>2024</v>
      </c>
      <c r="H186" s="2" t="s">
        <v>2025</v>
      </c>
      <c r="I186" s="2" t="s">
        <v>61</v>
      </c>
      <c r="J186" s="2" t="s">
        <v>62</v>
      </c>
      <c r="K186" s="2" t="s">
        <v>63</v>
      </c>
      <c r="L186" s="2" t="s">
        <v>64</v>
      </c>
      <c r="M186" s="3">
        <v>683032.14</v>
      </c>
      <c r="N186" s="15">
        <v>45343</v>
      </c>
      <c r="O186" s="1">
        <v>220471</v>
      </c>
      <c r="P186" s="1" t="s">
        <v>65</v>
      </c>
      <c r="Q186" s="1" t="s">
        <v>35</v>
      </c>
      <c r="R186" s="1" t="s">
        <v>66</v>
      </c>
      <c r="S186" s="1" t="s">
        <v>2026</v>
      </c>
      <c r="U186" s="1" t="s">
        <v>68</v>
      </c>
      <c r="W186" s="1" t="s">
        <v>39</v>
      </c>
    </row>
    <row r="187" spans="1:23" ht="24.95" customHeight="1" x14ac:dyDescent="0.25">
      <c r="A187" s="9">
        <f>SUBTOTAL(103,$F$1:F187)-1</f>
        <v>186</v>
      </c>
      <c r="B187" s="1" t="s">
        <v>2027</v>
      </c>
      <c r="E187" s="1" t="s">
        <v>2028</v>
      </c>
      <c r="F187" s="1" t="s">
        <v>2029</v>
      </c>
      <c r="G187" s="1" t="s">
        <v>2030</v>
      </c>
      <c r="H187" s="2" t="s">
        <v>2031</v>
      </c>
      <c r="I187" s="2" t="s">
        <v>2032</v>
      </c>
      <c r="J187" s="2" t="s">
        <v>2033</v>
      </c>
      <c r="K187" s="2" t="s">
        <v>2034</v>
      </c>
      <c r="L187" s="2" t="s">
        <v>2035</v>
      </c>
      <c r="M187" s="3">
        <v>588036</v>
      </c>
      <c r="N187" s="15">
        <v>45343</v>
      </c>
      <c r="O187" s="1">
        <v>2</v>
      </c>
      <c r="P187" s="1" t="s">
        <v>2036</v>
      </c>
      <c r="Q187" s="1" t="s">
        <v>35</v>
      </c>
      <c r="R187" s="1" t="s">
        <v>2037</v>
      </c>
      <c r="S187" s="1" t="s">
        <v>2030</v>
      </c>
      <c r="U187" s="1" t="s">
        <v>2038</v>
      </c>
      <c r="W187" s="1" t="s">
        <v>39</v>
      </c>
    </row>
    <row r="188" spans="1:23" ht="24.95" customHeight="1" x14ac:dyDescent="0.25">
      <c r="A188" s="9">
        <f>SUBTOTAL(103,$F$1:F188)-1</f>
        <v>187</v>
      </c>
      <c r="C188" s="1" t="s">
        <v>2039</v>
      </c>
      <c r="E188" s="1" t="s">
        <v>2040</v>
      </c>
      <c r="F188" s="1" t="s">
        <v>2041</v>
      </c>
      <c r="G188" s="1" t="s">
        <v>2042</v>
      </c>
      <c r="H188" s="2" t="s">
        <v>2043</v>
      </c>
      <c r="I188" s="2" t="s">
        <v>2044</v>
      </c>
      <c r="J188" s="2" t="s">
        <v>2045</v>
      </c>
      <c r="K188" s="2" t="s">
        <v>2046</v>
      </c>
      <c r="L188" s="2" t="s">
        <v>2047</v>
      </c>
      <c r="M188" s="3">
        <v>1901150.73</v>
      </c>
      <c r="N188" s="15">
        <v>45344</v>
      </c>
      <c r="O188" s="1">
        <v>17</v>
      </c>
      <c r="P188" s="1" t="s">
        <v>2048</v>
      </c>
      <c r="Q188" s="1" t="s">
        <v>1548</v>
      </c>
      <c r="R188" s="1" t="s">
        <v>2049</v>
      </c>
      <c r="S188" s="1" t="s">
        <v>2050</v>
      </c>
      <c r="U188" s="1" t="s">
        <v>2051</v>
      </c>
      <c r="W188" s="1" t="s">
        <v>39</v>
      </c>
    </row>
    <row r="189" spans="1:23" ht="24.95" customHeight="1" x14ac:dyDescent="0.25">
      <c r="A189" s="9">
        <f>SUBTOTAL(103,$F$1:F189)-1</f>
        <v>188</v>
      </c>
      <c r="B189" s="1" t="s">
        <v>2052</v>
      </c>
      <c r="C189" s="1" t="s">
        <v>2053</v>
      </c>
      <c r="E189" s="1" t="s">
        <v>2054</v>
      </c>
      <c r="F189" s="1" t="s">
        <v>2055</v>
      </c>
      <c r="G189" s="1" t="s">
        <v>2056</v>
      </c>
      <c r="H189" s="2" t="s">
        <v>2057</v>
      </c>
      <c r="I189" s="2" t="s">
        <v>2058</v>
      </c>
      <c r="J189" s="2" t="s">
        <v>2059</v>
      </c>
      <c r="K189" s="2" t="s">
        <v>2060</v>
      </c>
      <c r="L189" s="2" t="s">
        <v>2061</v>
      </c>
      <c r="M189" s="3">
        <v>1335900</v>
      </c>
      <c r="N189" s="15">
        <v>45344</v>
      </c>
      <c r="P189" s="1" t="s">
        <v>2062</v>
      </c>
      <c r="Q189" s="1" t="s">
        <v>1548</v>
      </c>
      <c r="R189" s="1" t="s">
        <v>1764</v>
      </c>
      <c r="S189" s="1" t="s">
        <v>2063</v>
      </c>
      <c r="U189" s="1" t="s">
        <v>2064</v>
      </c>
      <c r="W189" s="1" t="s">
        <v>39</v>
      </c>
    </row>
    <row r="190" spans="1:23" ht="24.95" customHeight="1" x14ac:dyDescent="0.25">
      <c r="A190" s="9">
        <f>SUBTOTAL(103,$F$1:F190)-1</f>
        <v>189</v>
      </c>
      <c r="B190" s="1" t="s">
        <v>2065</v>
      </c>
      <c r="C190" s="1" t="s">
        <v>2066</v>
      </c>
      <c r="D190" s="1" t="s">
        <v>2067</v>
      </c>
      <c r="E190" s="1" t="s">
        <v>2068</v>
      </c>
      <c r="F190" s="1" t="s">
        <v>2069</v>
      </c>
      <c r="G190" s="1" t="s">
        <v>2070</v>
      </c>
      <c r="H190" s="2" t="s">
        <v>2071</v>
      </c>
      <c r="I190" s="2" t="s">
        <v>2072</v>
      </c>
      <c r="J190" s="2" t="s">
        <v>2073</v>
      </c>
      <c r="K190" s="2" t="s">
        <v>2074</v>
      </c>
      <c r="L190" s="2" t="s">
        <v>2075</v>
      </c>
      <c r="M190" s="3">
        <v>610999.19999999995</v>
      </c>
      <c r="N190" s="15">
        <v>45343</v>
      </c>
      <c r="O190" s="1">
        <v>178</v>
      </c>
      <c r="P190" s="1" t="s">
        <v>2076</v>
      </c>
      <c r="Q190" s="1" t="s">
        <v>35</v>
      </c>
      <c r="R190" s="1" t="s">
        <v>892</v>
      </c>
      <c r="S190" s="1" t="s">
        <v>2077</v>
      </c>
      <c r="U190" s="1" t="s">
        <v>2078</v>
      </c>
      <c r="W190" s="1" t="s">
        <v>39</v>
      </c>
    </row>
    <row r="191" spans="1:23" ht="24.95" customHeight="1" x14ac:dyDescent="0.25">
      <c r="A191" s="9">
        <f>SUBTOTAL(103,$F$1:F191)-1</f>
        <v>190</v>
      </c>
      <c r="E191" s="1" t="s">
        <v>2079</v>
      </c>
      <c r="F191" s="1" t="s">
        <v>2080</v>
      </c>
      <c r="G191" s="1" t="s">
        <v>2081</v>
      </c>
      <c r="H191" s="2" t="s">
        <v>2082</v>
      </c>
      <c r="J191" s="2" t="s">
        <v>347</v>
      </c>
      <c r="M191" s="3">
        <v>700433.7</v>
      </c>
      <c r="N191" s="15">
        <v>45344</v>
      </c>
      <c r="P191" s="1" t="s">
        <v>2083</v>
      </c>
      <c r="Q191" s="1" t="s">
        <v>1548</v>
      </c>
      <c r="S191" s="1" t="s">
        <v>2084</v>
      </c>
      <c r="W191" s="1" t="s">
        <v>270</v>
      </c>
    </row>
    <row r="192" spans="1:23" ht="24.95" customHeight="1" x14ac:dyDescent="0.25">
      <c r="A192" s="9">
        <f>SUBTOTAL(103,$F$1:F192)-1</f>
        <v>191</v>
      </c>
      <c r="B192" s="1" t="s">
        <v>2085</v>
      </c>
      <c r="C192" s="1" t="s">
        <v>2086</v>
      </c>
      <c r="E192" s="1" t="s">
        <v>2087</v>
      </c>
      <c r="F192" s="1" t="s">
        <v>2088</v>
      </c>
      <c r="G192" s="1" t="s">
        <v>167</v>
      </c>
      <c r="H192" s="2" t="s">
        <v>168</v>
      </c>
      <c r="I192" s="2" t="s">
        <v>2089</v>
      </c>
      <c r="J192" s="2" t="s">
        <v>2090</v>
      </c>
      <c r="K192" s="2" t="s">
        <v>2091</v>
      </c>
      <c r="L192" s="2" t="s">
        <v>2092</v>
      </c>
      <c r="M192" s="3">
        <v>4722853.78</v>
      </c>
      <c r="N192" s="15">
        <v>45344</v>
      </c>
      <c r="O192" s="1">
        <v>66</v>
      </c>
      <c r="P192" s="1" t="s">
        <v>2093</v>
      </c>
      <c r="Q192" s="1" t="s">
        <v>1548</v>
      </c>
      <c r="R192" s="1" t="s">
        <v>1943</v>
      </c>
      <c r="S192" s="1" t="s">
        <v>175</v>
      </c>
      <c r="U192" s="1" t="s">
        <v>2094</v>
      </c>
      <c r="W192" s="1" t="s">
        <v>39</v>
      </c>
    </row>
    <row r="193" spans="1:23" ht="24.95" customHeight="1" x14ac:dyDescent="0.25">
      <c r="A193" s="9">
        <f>SUBTOTAL(103,$F$1:F193)-1</f>
        <v>192</v>
      </c>
      <c r="B193" s="1" t="s">
        <v>2095</v>
      </c>
      <c r="C193" s="1" t="s">
        <v>2096</v>
      </c>
      <c r="E193" s="1" t="s">
        <v>2097</v>
      </c>
      <c r="F193" s="1" t="s">
        <v>2098</v>
      </c>
      <c r="G193" s="1" t="s">
        <v>167</v>
      </c>
      <c r="H193" s="2" t="s">
        <v>168</v>
      </c>
      <c r="I193" s="2" t="s">
        <v>2099</v>
      </c>
      <c r="J193" s="2" t="s">
        <v>2100</v>
      </c>
      <c r="K193" s="2" t="s">
        <v>2101</v>
      </c>
      <c r="L193" s="2" t="s">
        <v>2102</v>
      </c>
      <c r="M193" s="3">
        <v>2574685.87</v>
      </c>
      <c r="N193" s="15">
        <v>45344</v>
      </c>
      <c r="O193" s="1">
        <v>90</v>
      </c>
      <c r="P193" s="1" t="s">
        <v>2103</v>
      </c>
      <c r="Q193" s="1" t="s">
        <v>1548</v>
      </c>
      <c r="R193" s="1" t="s">
        <v>1943</v>
      </c>
      <c r="S193" s="1" t="s">
        <v>175</v>
      </c>
      <c r="U193" s="1" t="s">
        <v>2104</v>
      </c>
      <c r="W193" s="1" t="s">
        <v>39</v>
      </c>
    </row>
    <row r="194" spans="1:23" ht="24.95" customHeight="1" x14ac:dyDescent="0.25">
      <c r="A194" s="9">
        <f>SUBTOTAL(103,$F$1:F194)-1</f>
        <v>193</v>
      </c>
      <c r="C194" s="1" t="s">
        <v>2105</v>
      </c>
      <c r="E194" s="1" t="s">
        <v>2106</v>
      </c>
      <c r="F194" s="1" t="s">
        <v>2107</v>
      </c>
      <c r="G194" s="1" t="s">
        <v>2108</v>
      </c>
      <c r="H194" s="2" t="s">
        <v>2109</v>
      </c>
      <c r="I194" s="2" t="s">
        <v>2110</v>
      </c>
      <c r="J194" s="2" t="s">
        <v>2111</v>
      </c>
      <c r="K194" s="2" t="s">
        <v>2112</v>
      </c>
      <c r="L194" s="2" t="s">
        <v>2113</v>
      </c>
      <c r="M194" s="3">
        <v>602316</v>
      </c>
      <c r="N194" s="15">
        <v>45343</v>
      </c>
      <c r="O194" s="1">
        <v>7</v>
      </c>
      <c r="P194" s="1" t="s">
        <v>2114</v>
      </c>
      <c r="Q194" s="1" t="s">
        <v>35</v>
      </c>
      <c r="R194" s="1" t="s">
        <v>2115</v>
      </c>
      <c r="S194" s="1" t="s">
        <v>2116</v>
      </c>
      <c r="U194" s="1" t="s">
        <v>2117</v>
      </c>
      <c r="W194" s="1" t="s">
        <v>39</v>
      </c>
    </row>
    <row r="195" spans="1:23" ht="24.95" customHeight="1" x14ac:dyDescent="0.25">
      <c r="A195" s="9">
        <f>SUBTOTAL(103,$F$1:F195)-1</f>
        <v>194</v>
      </c>
      <c r="B195" s="1" t="s">
        <v>2118</v>
      </c>
      <c r="C195" s="1" t="s">
        <v>2119</v>
      </c>
      <c r="E195" s="1" t="s">
        <v>2120</v>
      </c>
      <c r="F195" s="1" t="s">
        <v>2121</v>
      </c>
      <c r="G195" s="1" t="s">
        <v>2122</v>
      </c>
      <c r="H195" s="2" t="s">
        <v>2123</v>
      </c>
      <c r="I195" s="2" t="s">
        <v>2124</v>
      </c>
      <c r="J195" s="2" t="s">
        <v>2125</v>
      </c>
      <c r="K195" s="2" t="s">
        <v>2126</v>
      </c>
      <c r="L195" s="2" t="s">
        <v>2127</v>
      </c>
      <c r="M195" s="3">
        <v>630154.9</v>
      </c>
      <c r="N195" s="15">
        <v>45344</v>
      </c>
      <c r="O195" s="1">
        <v>260</v>
      </c>
      <c r="P195" s="1" t="s">
        <v>2128</v>
      </c>
      <c r="Q195" s="1" t="s">
        <v>1548</v>
      </c>
      <c r="R195" s="1" t="s">
        <v>2129</v>
      </c>
      <c r="S195" s="1" t="s">
        <v>2130</v>
      </c>
      <c r="U195" s="1" t="s">
        <v>2131</v>
      </c>
      <c r="W195" s="1" t="s">
        <v>39</v>
      </c>
    </row>
    <row r="196" spans="1:23" ht="24.95" customHeight="1" x14ac:dyDescent="0.25">
      <c r="A196" s="9">
        <f>SUBTOTAL(103,$F$1:F196)-1</f>
        <v>195</v>
      </c>
      <c r="E196" s="1" t="s">
        <v>2132</v>
      </c>
      <c r="F196" s="1" t="s">
        <v>2133</v>
      </c>
      <c r="G196" s="1" t="s">
        <v>2134</v>
      </c>
      <c r="H196" s="2" t="s">
        <v>2135</v>
      </c>
      <c r="I196" s="2" t="s">
        <v>2136</v>
      </c>
      <c r="J196" s="2" t="s">
        <v>2137</v>
      </c>
      <c r="K196" s="2" t="s">
        <v>2138</v>
      </c>
      <c r="L196" s="2" t="s">
        <v>2139</v>
      </c>
      <c r="M196" s="3">
        <v>9799578.4499999993</v>
      </c>
      <c r="N196" s="15">
        <v>45344</v>
      </c>
      <c r="O196" s="1">
        <v>2</v>
      </c>
      <c r="P196" s="1" t="s">
        <v>2140</v>
      </c>
      <c r="Q196" s="1" t="s">
        <v>1548</v>
      </c>
      <c r="R196" s="1" t="s">
        <v>2141</v>
      </c>
      <c r="S196" s="1" t="s">
        <v>2142</v>
      </c>
      <c r="U196" s="1" t="s">
        <v>2143</v>
      </c>
      <c r="W196" s="1" t="s">
        <v>39</v>
      </c>
    </row>
    <row r="197" spans="1:23" ht="24.95" customHeight="1" x14ac:dyDescent="0.25">
      <c r="A197" s="9">
        <f>SUBTOTAL(103,$F$1:F197)-1</f>
        <v>196</v>
      </c>
      <c r="C197" s="1" t="s">
        <v>2144</v>
      </c>
      <c r="E197" s="1" t="s">
        <v>2145</v>
      </c>
      <c r="F197" s="1" t="s">
        <v>2146</v>
      </c>
      <c r="G197" s="1" t="s">
        <v>167</v>
      </c>
      <c r="H197" s="2" t="s">
        <v>168</v>
      </c>
      <c r="I197" s="2" t="s">
        <v>2147</v>
      </c>
      <c r="J197" s="2" t="s">
        <v>2148</v>
      </c>
      <c r="K197" s="2" t="s">
        <v>2149</v>
      </c>
      <c r="L197" s="2" t="s">
        <v>2150</v>
      </c>
      <c r="M197" s="3">
        <v>1229382.22</v>
      </c>
      <c r="N197" s="15">
        <v>45344</v>
      </c>
      <c r="O197" s="1">
        <v>74</v>
      </c>
      <c r="P197" s="1" t="s">
        <v>2151</v>
      </c>
      <c r="Q197" s="1" t="s">
        <v>1548</v>
      </c>
      <c r="R197" s="1" t="s">
        <v>224</v>
      </c>
      <c r="S197" s="1" t="s">
        <v>175</v>
      </c>
      <c r="U197" s="1" t="s">
        <v>2152</v>
      </c>
      <c r="W197" s="1" t="s">
        <v>39</v>
      </c>
    </row>
    <row r="198" spans="1:23" ht="24.95" customHeight="1" x14ac:dyDescent="0.25">
      <c r="A198" s="9">
        <f>SUBTOTAL(103,$F$1:F198)-1</f>
        <v>197</v>
      </c>
      <c r="B198" s="1" t="s">
        <v>2153</v>
      </c>
      <c r="C198" s="1" t="s">
        <v>2154</v>
      </c>
      <c r="E198" s="1" t="s">
        <v>2155</v>
      </c>
      <c r="F198" s="1" t="s">
        <v>2156</v>
      </c>
      <c r="G198" s="1" t="s">
        <v>167</v>
      </c>
      <c r="H198" s="2" t="s">
        <v>168</v>
      </c>
      <c r="I198" s="2" t="s">
        <v>2157</v>
      </c>
      <c r="J198" s="2" t="s">
        <v>2158</v>
      </c>
      <c r="K198" s="2" t="s">
        <v>2159</v>
      </c>
      <c r="L198" s="2" t="s">
        <v>2160</v>
      </c>
      <c r="M198" s="3">
        <v>2195843.2000000002</v>
      </c>
      <c r="N198" s="15">
        <v>45344</v>
      </c>
      <c r="O198" s="1">
        <v>2567</v>
      </c>
      <c r="P198" s="1" t="s">
        <v>2161</v>
      </c>
      <c r="Q198" s="1" t="s">
        <v>1548</v>
      </c>
      <c r="R198" s="1" t="s">
        <v>2162</v>
      </c>
      <c r="S198" s="1" t="s">
        <v>175</v>
      </c>
      <c r="U198" s="1" t="s">
        <v>2163</v>
      </c>
      <c r="W198" s="1" t="s">
        <v>39</v>
      </c>
    </row>
    <row r="199" spans="1:23" ht="24.95" customHeight="1" x14ac:dyDescent="0.25">
      <c r="A199" s="9">
        <f>SUBTOTAL(103,$F$1:F199)-1</f>
        <v>198</v>
      </c>
      <c r="C199" s="1" t="s">
        <v>2164</v>
      </c>
      <c r="E199" s="1" t="s">
        <v>2165</v>
      </c>
      <c r="F199" s="1" t="s">
        <v>2166</v>
      </c>
      <c r="G199" s="1" t="s">
        <v>167</v>
      </c>
      <c r="H199" s="2" t="s">
        <v>168</v>
      </c>
      <c r="I199" s="2" t="s">
        <v>2167</v>
      </c>
      <c r="J199" s="2" t="s">
        <v>2168</v>
      </c>
      <c r="K199" s="2" t="s">
        <v>2169</v>
      </c>
      <c r="L199" s="2" t="s">
        <v>2170</v>
      </c>
      <c r="M199" s="3">
        <v>1126592.68</v>
      </c>
      <c r="N199" s="15">
        <v>45344</v>
      </c>
      <c r="O199" s="1">
        <v>10</v>
      </c>
      <c r="P199" s="1" t="s">
        <v>2171</v>
      </c>
      <c r="Q199" s="1" t="s">
        <v>1548</v>
      </c>
      <c r="R199" s="1" t="s">
        <v>302</v>
      </c>
      <c r="S199" s="1" t="s">
        <v>175</v>
      </c>
      <c r="U199" s="1" t="s">
        <v>2172</v>
      </c>
      <c r="W199" s="1" t="s">
        <v>39</v>
      </c>
    </row>
    <row r="200" spans="1:23" ht="24.95" customHeight="1" x14ac:dyDescent="0.25">
      <c r="A200" s="9">
        <f>SUBTOTAL(103,$F$1:F200)-1</f>
        <v>199</v>
      </c>
      <c r="B200" s="1" t="s">
        <v>2173</v>
      </c>
      <c r="C200" s="1" t="s">
        <v>2174</v>
      </c>
      <c r="E200" s="1" t="s">
        <v>2175</v>
      </c>
      <c r="F200" s="1" t="s">
        <v>2176</v>
      </c>
      <c r="G200" s="1" t="s">
        <v>698</v>
      </c>
      <c r="H200" s="2" t="s">
        <v>699</v>
      </c>
      <c r="I200" s="2" t="s">
        <v>2177</v>
      </c>
      <c r="J200" s="2" t="s">
        <v>2178</v>
      </c>
      <c r="K200" s="2" t="s">
        <v>2179</v>
      </c>
      <c r="L200" s="2" t="s">
        <v>2180</v>
      </c>
      <c r="M200" s="3">
        <v>1387506.29</v>
      </c>
      <c r="N200" s="15">
        <v>45343</v>
      </c>
      <c r="O200" s="1">
        <v>272</v>
      </c>
      <c r="P200" s="1" t="s">
        <v>2181</v>
      </c>
      <c r="Q200" s="1" t="s">
        <v>35</v>
      </c>
      <c r="R200" s="1" t="s">
        <v>389</v>
      </c>
      <c r="S200" s="1" t="s">
        <v>706</v>
      </c>
      <c r="U200" s="1" t="s">
        <v>2182</v>
      </c>
      <c r="W200" s="1" t="s">
        <v>39</v>
      </c>
    </row>
    <row r="201" spans="1:23" ht="24.95" customHeight="1" x14ac:dyDescent="0.25">
      <c r="A201" s="9">
        <f>SUBTOTAL(103,$F$1:F201)-1</f>
        <v>200</v>
      </c>
      <c r="C201" s="1" t="s">
        <v>2183</v>
      </c>
      <c r="E201" s="1" t="s">
        <v>2184</v>
      </c>
      <c r="F201" s="1" t="s">
        <v>2185</v>
      </c>
      <c r="G201" s="1" t="s">
        <v>167</v>
      </c>
      <c r="H201" s="2" t="s">
        <v>168</v>
      </c>
      <c r="I201" s="2" t="s">
        <v>2186</v>
      </c>
      <c r="J201" s="2" t="s">
        <v>2187</v>
      </c>
      <c r="K201" s="2" t="s">
        <v>2188</v>
      </c>
      <c r="L201" s="2" t="s">
        <v>2189</v>
      </c>
      <c r="M201" s="3">
        <v>995602.05</v>
      </c>
      <c r="N201" s="15">
        <v>45344</v>
      </c>
      <c r="O201" s="1">
        <v>62</v>
      </c>
      <c r="P201" s="1" t="s">
        <v>2190</v>
      </c>
      <c r="Q201" s="1" t="s">
        <v>1548</v>
      </c>
      <c r="R201" s="1" t="s">
        <v>174</v>
      </c>
      <c r="S201" s="1" t="s">
        <v>175</v>
      </c>
      <c r="U201" s="1" t="s">
        <v>2191</v>
      </c>
      <c r="W201" s="1" t="s">
        <v>39</v>
      </c>
    </row>
    <row r="202" spans="1:23" ht="24.95" customHeight="1" x14ac:dyDescent="0.25">
      <c r="A202" s="9">
        <f>SUBTOTAL(103,$F$1:F202)-1</f>
        <v>201</v>
      </c>
      <c r="E202" s="1" t="s">
        <v>2192</v>
      </c>
      <c r="F202" s="1" t="s">
        <v>2193</v>
      </c>
      <c r="G202" s="1" t="s">
        <v>167</v>
      </c>
      <c r="H202" s="2" t="s">
        <v>168</v>
      </c>
      <c r="I202" s="2" t="s">
        <v>2194</v>
      </c>
      <c r="J202" s="2" t="s">
        <v>2195</v>
      </c>
      <c r="K202" s="2" t="s">
        <v>2196</v>
      </c>
      <c r="L202" s="2" t="s">
        <v>2197</v>
      </c>
      <c r="M202" s="3">
        <v>2362181.13</v>
      </c>
      <c r="N202" s="15">
        <v>45344</v>
      </c>
      <c r="O202" s="1">
        <v>20</v>
      </c>
      <c r="P202" s="1" t="s">
        <v>2198</v>
      </c>
      <c r="Q202" s="1" t="s">
        <v>1548</v>
      </c>
      <c r="R202" s="1" t="s">
        <v>1986</v>
      </c>
      <c r="S202" s="1" t="s">
        <v>175</v>
      </c>
      <c r="U202" s="1" t="s">
        <v>2199</v>
      </c>
      <c r="W202" s="1" t="s">
        <v>39</v>
      </c>
    </row>
    <row r="203" spans="1:23" ht="24.95" customHeight="1" x14ac:dyDescent="0.25">
      <c r="A203" s="9">
        <f>SUBTOTAL(103,$F$1:F203)-1</f>
        <v>202</v>
      </c>
      <c r="E203" s="1" t="s">
        <v>2200</v>
      </c>
      <c r="F203" s="1" t="s">
        <v>2201</v>
      </c>
      <c r="G203" s="1" t="s">
        <v>167</v>
      </c>
      <c r="H203" s="2" t="s">
        <v>168</v>
      </c>
      <c r="I203" s="2" t="s">
        <v>2202</v>
      </c>
      <c r="J203" s="2" t="s">
        <v>2203</v>
      </c>
      <c r="K203" s="2" t="s">
        <v>2204</v>
      </c>
      <c r="L203" s="2" t="s">
        <v>2205</v>
      </c>
      <c r="M203" s="3">
        <v>618568.11</v>
      </c>
      <c r="N203" s="15">
        <v>45344</v>
      </c>
      <c r="O203" s="1">
        <v>2</v>
      </c>
      <c r="P203" s="1" t="s">
        <v>2206</v>
      </c>
      <c r="Q203" s="1" t="s">
        <v>1548</v>
      </c>
      <c r="R203" s="1" t="s">
        <v>1986</v>
      </c>
      <c r="S203" s="1" t="s">
        <v>175</v>
      </c>
      <c r="U203" s="1" t="s">
        <v>2207</v>
      </c>
      <c r="W203" s="1" t="s">
        <v>39</v>
      </c>
    </row>
    <row r="204" spans="1:23" ht="24.95" customHeight="1" x14ac:dyDescent="0.25">
      <c r="A204" s="9">
        <f>SUBTOTAL(103,$F$1:F204)-1</f>
        <v>203</v>
      </c>
      <c r="E204" s="1" t="s">
        <v>2208</v>
      </c>
      <c r="F204" s="1" t="s">
        <v>2209</v>
      </c>
      <c r="G204" s="1" t="s">
        <v>2210</v>
      </c>
      <c r="H204" s="2" t="s">
        <v>2211</v>
      </c>
      <c r="I204" s="2" t="s">
        <v>2212</v>
      </c>
      <c r="J204" s="2" t="s">
        <v>2213</v>
      </c>
      <c r="K204" s="2" t="s">
        <v>2214</v>
      </c>
      <c r="L204" s="2" t="s">
        <v>2215</v>
      </c>
      <c r="M204" s="3">
        <v>5039844.78</v>
      </c>
      <c r="N204" s="15">
        <v>45344</v>
      </c>
      <c r="O204" s="1">
        <v>3</v>
      </c>
      <c r="P204" s="1" t="s">
        <v>2216</v>
      </c>
      <c r="Q204" s="1" t="s">
        <v>35</v>
      </c>
      <c r="R204" s="1" t="s">
        <v>1736</v>
      </c>
      <c r="S204" s="1" t="s">
        <v>2217</v>
      </c>
      <c r="U204" s="1" t="s">
        <v>2218</v>
      </c>
      <c r="W204" s="1" t="s">
        <v>39</v>
      </c>
    </row>
    <row r="205" spans="1:23" ht="24.95" customHeight="1" x14ac:dyDescent="0.25">
      <c r="A205" s="9">
        <f>SUBTOTAL(103,$F$1:F205)-1</f>
        <v>204</v>
      </c>
      <c r="B205" s="1" t="s">
        <v>2219</v>
      </c>
      <c r="C205" s="1" t="s">
        <v>2220</v>
      </c>
      <c r="E205" s="1" t="s">
        <v>2221</v>
      </c>
      <c r="F205" s="1" t="s">
        <v>2222</v>
      </c>
      <c r="G205" s="1" t="s">
        <v>2223</v>
      </c>
      <c r="H205" s="2" t="s">
        <v>2224</v>
      </c>
      <c r="I205" s="2" t="s">
        <v>2225</v>
      </c>
      <c r="J205" s="2" t="s">
        <v>2226</v>
      </c>
      <c r="K205" s="2" t="s">
        <v>2227</v>
      </c>
      <c r="L205" s="2" t="s">
        <v>2228</v>
      </c>
      <c r="M205" s="3">
        <v>5763819.5700000003</v>
      </c>
      <c r="N205" s="15">
        <v>45344</v>
      </c>
      <c r="O205" s="1">
        <v>95</v>
      </c>
      <c r="P205" s="1" t="s">
        <v>2229</v>
      </c>
      <c r="Q205" s="1" t="s">
        <v>35</v>
      </c>
      <c r="R205" s="1" t="s">
        <v>224</v>
      </c>
      <c r="S205" s="1" t="s">
        <v>2230</v>
      </c>
      <c r="U205" s="1" t="s">
        <v>2231</v>
      </c>
      <c r="W205" s="1" t="s">
        <v>39</v>
      </c>
    </row>
    <row r="206" spans="1:23" ht="24.95" customHeight="1" x14ac:dyDescent="0.25">
      <c r="A206" s="9">
        <f>SUBTOTAL(103,$F$1:F206)-1</f>
        <v>205</v>
      </c>
      <c r="B206" s="1" t="s">
        <v>2232</v>
      </c>
      <c r="C206" s="1" t="s">
        <v>2233</v>
      </c>
      <c r="E206" s="1" t="s">
        <v>2234</v>
      </c>
      <c r="F206" s="1" t="s">
        <v>2235</v>
      </c>
      <c r="G206" s="1" t="s">
        <v>167</v>
      </c>
      <c r="H206" s="2" t="s">
        <v>168</v>
      </c>
      <c r="I206" s="2" t="s">
        <v>2236</v>
      </c>
      <c r="J206" s="2" t="s">
        <v>2237</v>
      </c>
      <c r="K206" s="2" t="s">
        <v>2238</v>
      </c>
      <c r="L206" s="2" t="s">
        <v>2239</v>
      </c>
      <c r="M206" s="3">
        <v>1751051.63</v>
      </c>
      <c r="N206" s="15">
        <v>45344</v>
      </c>
      <c r="O206" s="1">
        <v>92</v>
      </c>
      <c r="P206" s="1" t="s">
        <v>2240</v>
      </c>
      <c r="Q206" s="1" t="s">
        <v>1548</v>
      </c>
      <c r="R206" s="1" t="s">
        <v>1943</v>
      </c>
      <c r="S206" s="1" t="s">
        <v>175</v>
      </c>
      <c r="U206" s="1" t="s">
        <v>2241</v>
      </c>
      <c r="W206" s="1" t="s">
        <v>39</v>
      </c>
    </row>
    <row r="207" spans="1:23" ht="24.95" customHeight="1" x14ac:dyDescent="0.25">
      <c r="A207" s="9">
        <f>SUBTOTAL(103,$F$1:F207)-1</f>
        <v>206</v>
      </c>
      <c r="C207" s="1" t="s">
        <v>2242</v>
      </c>
      <c r="E207" s="1" t="s">
        <v>2243</v>
      </c>
      <c r="F207" s="1" t="s">
        <v>2244</v>
      </c>
      <c r="G207" s="1" t="s">
        <v>167</v>
      </c>
      <c r="H207" s="2" t="s">
        <v>168</v>
      </c>
      <c r="I207" s="2" t="s">
        <v>2245</v>
      </c>
      <c r="J207" s="2" t="s">
        <v>2246</v>
      </c>
      <c r="K207" s="2" t="s">
        <v>2247</v>
      </c>
      <c r="L207" s="2" t="s">
        <v>2248</v>
      </c>
      <c r="M207" s="3">
        <v>1382984.48</v>
      </c>
      <c r="N207" s="15">
        <v>45344</v>
      </c>
      <c r="O207" s="1">
        <v>13</v>
      </c>
      <c r="P207" s="1" t="s">
        <v>2249</v>
      </c>
      <c r="Q207" s="1" t="s">
        <v>1548</v>
      </c>
      <c r="R207" s="1" t="s">
        <v>2250</v>
      </c>
      <c r="S207" s="1" t="s">
        <v>175</v>
      </c>
      <c r="U207" s="1" t="s">
        <v>2251</v>
      </c>
      <c r="W207" s="1" t="s">
        <v>39</v>
      </c>
    </row>
    <row r="208" spans="1:23" ht="24.95" customHeight="1" x14ac:dyDescent="0.25">
      <c r="A208" s="9">
        <f>SUBTOTAL(103,$F$1:F208)-1</f>
        <v>207</v>
      </c>
      <c r="B208" s="1" t="s">
        <v>2252</v>
      </c>
      <c r="C208" s="1" t="s">
        <v>2253</v>
      </c>
      <c r="E208" s="1" t="s">
        <v>2254</v>
      </c>
      <c r="F208" s="1" t="s">
        <v>2255</v>
      </c>
      <c r="G208" s="1" t="s">
        <v>2256</v>
      </c>
      <c r="H208" s="2" t="s">
        <v>2257</v>
      </c>
      <c r="I208" s="2" t="s">
        <v>2258</v>
      </c>
      <c r="J208" s="2" t="s">
        <v>2259</v>
      </c>
      <c r="K208" s="2" t="s">
        <v>2260</v>
      </c>
      <c r="L208" s="2" t="s">
        <v>2261</v>
      </c>
      <c r="M208" s="3">
        <v>1854020</v>
      </c>
      <c r="N208" s="15">
        <v>45344</v>
      </c>
      <c r="O208" s="1">
        <v>60</v>
      </c>
      <c r="P208" s="1" t="s">
        <v>2262</v>
      </c>
      <c r="Q208" s="1" t="s">
        <v>35</v>
      </c>
      <c r="R208" s="1" t="s">
        <v>2263</v>
      </c>
      <c r="S208" s="1" t="s">
        <v>2264</v>
      </c>
      <c r="U208" s="1" t="s">
        <v>2265</v>
      </c>
      <c r="W208" s="1" t="s">
        <v>39</v>
      </c>
    </row>
    <row r="209" spans="1:23" ht="24.95" customHeight="1" x14ac:dyDescent="0.25">
      <c r="A209" s="9">
        <f>SUBTOTAL(103,$F$1:F209)-1</f>
        <v>208</v>
      </c>
      <c r="B209" s="1" t="s">
        <v>777</v>
      </c>
      <c r="C209" s="1" t="s">
        <v>778</v>
      </c>
      <c r="E209" s="1" t="s">
        <v>2266</v>
      </c>
      <c r="F209" s="1" t="s">
        <v>2267</v>
      </c>
      <c r="G209" s="1" t="s">
        <v>2268</v>
      </c>
      <c r="H209" s="2" t="s">
        <v>2269</v>
      </c>
      <c r="I209" s="2" t="s">
        <v>783</v>
      </c>
      <c r="J209" s="2" t="s">
        <v>784</v>
      </c>
      <c r="K209" s="2" t="s">
        <v>785</v>
      </c>
      <c r="L209" s="2" t="s">
        <v>786</v>
      </c>
      <c r="M209" s="3">
        <v>663726</v>
      </c>
      <c r="N209" s="15">
        <v>45344</v>
      </c>
      <c r="O209" s="1">
        <v>637</v>
      </c>
      <c r="P209" s="1" t="s">
        <v>787</v>
      </c>
      <c r="Q209" s="1" t="s">
        <v>35</v>
      </c>
      <c r="R209" s="1" t="s">
        <v>389</v>
      </c>
      <c r="S209" s="1" t="s">
        <v>2270</v>
      </c>
      <c r="U209" s="1" t="s">
        <v>789</v>
      </c>
      <c r="W209" s="1" t="s">
        <v>39</v>
      </c>
    </row>
    <row r="210" spans="1:23" ht="24.95" customHeight="1" x14ac:dyDescent="0.25">
      <c r="A210" s="9">
        <f>SUBTOTAL(103,$F$1:F210)-1</f>
        <v>209</v>
      </c>
      <c r="B210" s="1" t="s">
        <v>2271</v>
      </c>
      <c r="C210" s="1" t="s">
        <v>2272</v>
      </c>
      <c r="E210" s="1" t="s">
        <v>2273</v>
      </c>
      <c r="F210" s="1" t="s">
        <v>2274</v>
      </c>
      <c r="G210" s="1" t="s">
        <v>2275</v>
      </c>
      <c r="H210" s="2" t="s">
        <v>2276</v>
      </c>
      <c r="I210" s="2" t="s">
        <v>2277</v>
      </c>
      <c r="J210" s="2" t="s">
        <v>2278</v>
      </c>
      <c r="K210" s="2" t="s">
        <v>347</v>
      </c>
      <c r="M210" s="3">
        <v>1962330.52</v>
      </c>
      <c r="N210" s="15">
        <v>45344</v>
      </c>
      <c r="O210" s="1">
        <v>1185</v>
      </c>
      <c r="P210" s="1" t="s">
        <v>2279</v>
      </c>
      <c r="Q210" s="1" t="s">
        <v>35</v>
      </c>
      <c r="R210" s="1" t="s">
        <v>159</v>
      </c>
      <c r="S210" s="1" t="s">
        <v>2280</v>
      </c>
      <c r="U210" s="1" t="s">
        <v>2281</v>
      </c>
      <c r="W210" s="1" t="s">
        <v>39</v>
      </c>
    </row>
    <row r="211" spans="1:23" ht="24.95" customHeight="1" x14ac:dyDescent="0.25">
      <c r="A211" s="9">
        <f>SUBTOTAL(103,$F$1:F211)-1</f>
        <v>210</v>
      </c>
      <c r="B211" s="1" t="s">
        <v>54</v>
      </c>
      <c r="C211" s="1" t="s">
        <v>55</v>
      </c>
      <c r="D211" s="1" t="s">
        <v>56</v>
      </c>
      <c r="E211" s="1" t="s">
        <v>2282</v>
      </c>
      <c r="F211" s="1" t="s">
        <v>2283</v>
      </c>
      <c r="G211" s="1" t="s">
        <v>2284</v>
      </c>
      <c r="H211" s="2" t="s">
        <v>2285</v>
      </c>
      <c r="I211" s="2" t="s">
        <v>61</v>
      </c>
      <c r="J211" s="2" t="s">
        <v>62</v>
      </c>
      <c r="K211" s="2" t="s">
        <v>63</v>
      </c>
      <c r="L211" s="2" t="s">
        <v>64</v>
      </c>
      <c r="M211" s="3">
        <v>1196616.22</v>
      </c>
      <c r="N211" s="15">
        <v>45344</v>
      </c>
      <c r="O211" s="1">
        <v>220473</v>
      </c>
      <c r="P211" s="1" t="s">
        <v>65</v>
      </c>
      <c r="Q211" s="1" t="s">
        <v>35</v>
      </c>
      <c r="R211" s="1" t="s">
        <v>66</v>
      </c>
      <c r="S211" s="1" t="s">
        <v>2286</v>
      </c>
      <c r="U211" s="1" t="s">
        <v>68</v>
      </c>
      <c r="W211" s="1" t="s">
        <v>39</v>
      </c>
    </row>
    <row r="212" spans="1:23" ht="24.95" customHeight="1" x14ac:dyDescent="0.25">
      <c r="A212" s="9">
        <f>SUBTOTAL(103,$F$1:F212)-1</f>
        <v>211</v>
      </c>
      <c r="E212" s="1" t="s">
        <v>2287</v>
      </c>
      <c r="F212" s="1" t="s">
        <v>2288</v>
      </c>
      <c r="G212" s="1" t="s">
        <v>2289</v>
      </c>
      <c r="H212" s="2" t="s">
        <v>2290</v>
      </c>
      <c r="I212" s="2" t="s">
        <v>2291</v>
      </c>
      <c r="J212" s="2" t="s">
        <v>2292</v>
      </c>
      <c r="K212" s="2" t="s">
        <v>2293</v>
      </c>
      <c r="L212" s="2" t="s">
        <v>2294</v>
      </c>
      <c r="M212" s="3">
        <v>3218264.34</v>
      </c>
      <c r="N212" s="15">
        <v>45344</v>
      </c>
      <c r="O212" s="1">
        <v>1</v>
      </c>
      <c r="P212" s="1" t="s">
        <v>2295</v>
      </c>
      <c r="Q212" s="1" t="s">
        <v>35</v>
      </c>
      <c r="R212" s="1" t="s">
        <v>1291</v>
      </c>
      <c r="S212" s="1" t="s">
        <v>2296</v>
      </c>
      <c r="U212" s="1" t="s">
        <v>2297</v>
      </c>
      <c r="W212" s="1" t="s">
        <v>39</v>
      </c>
    </row>
    <row r="213" spans="1:23" ht="24.95" customHeight="1" x14ac:dyDescent="0.25">
      <c r="A213" s="9">
        <f>SUBTOTAL(103,$F$1:F213)-1</f>
        <v>212</v>
      </c>
      <c r="E213" s="1" t="s">
        <v>2298</v>
      </c>
      <c r="F213" s="1" t="s">
        <v>2299</v>
      </c>
      <c r="G213" s="1" t="s">
        <v>2300</v>
      </c>
      <c r="H213" s="2" t="s">
        <v>2301</v>
      </c>
      <c r="I213" s="2" t="s">
        <v>2302</v>
      </c>
      <c r="J213" s="2" t="s">
        <v>2303</v>
      </c>
      <c r="K213" s="2" t="s">
        <v>2304</v>
      </c>
      <c r="L213" s="2" t="s">
        <v>2305</v>
      </c>
      <c r="M213" s="3">
        <v>1278368</v>
      </c>
      <c r="N213" s="15">
        <v>45344</v>
      </c>
      <c r="O213" s="1">
        <v>1</v>
      </c>
      <c r="P213" s="1" t="s">
        <v>2306</v>
      </c>
      <c r="Q213" s="1" t="s">
        <v>35</v>
      </c>
      <c r="R213" s="1" t="s">
        <v>1349</v>
      </c>
      <c r="S213" s="1" t="s">
        <v>2307</v>
      </c>
      <c r="U213" s="1" t="s">
        <v>2308</v>
      </c>
      <c r="W213" s="1" t="s">
        <v>39</v>
      </c>
    </row>
    <row r="214" spans="1:23" ht="24.95" customHeight="1" x14ac:dyDescent="0.25">
      <c r="A214" s="9">
        <f>SUBTOTAL(103,$F$1:F214)-1</f>
        <v>213</v>
      </c>
      <c r="B214" s="1" t="s">
        <v>2309</v>
      </c>
      <c r="C214" s="1" t="s">
        <v>2310</v>
      </c>
      <c r="E214" s="1" t="s">
        <v>2311</v>
      </c>
      <c r="F214" s="1" t="s">
        <v>2312</v>
      </c>
      <c r="G214" s="1" t="s">
        <v>2313</v>
      </c>
      <c r="H214" s="2" t="s">
        <v>2314</v>
      </c>
      <c r="I214" s="2" t="s">
        <v>2315</v>
      </c>
      <c r="J214" s="2" t="s">
        <v>2316</v>
      </c>
      <c r="K214" s="2" t="s">
        <v>2317</v>
      </c>
      <c r="L214" s="2" t="s">
        <v>2318</v>
      </c>
      <c r="M214" s="3">
        <v>546102.01</v>
      </c>
      <c r="N214" s="15">
        <v>45344</v>
      </c>
      <c r="O214" s="1">
        <v>56</v>
      </c>
      <c r="P214" s="1" t="s">
        <v>2319</v>
      </c>
      <c r="Q214" s="1" t="s">
        <v>35</v>
      </c>
      <c r="R214" s="1" t="s">
        <v>2320</v>
      </c>
      <c r="S214" s="1" t="s">
        <v>2321</v>
      </c>
      <c r="U214" s="1" t="s">
        <v>2322</v>
      </c>
      <c r="W214" s="1" t="s">
        <v>39</v>
      </c>
    </row>
    <row r="215" spans="1:23" ht="24.95" customHeight="1" x14ac:dyDescent="0.25">
      <c r="A215" s="9">
        <f>SUBTOTAL(103,$F$1:F215)-1</f>
        <v>214</v>
      </c>
      <c r="B215" s="1" t="s">
        <v>54</v>
      </c>
      <c r="C215" s="1" t="s">
        <v>55</v>
      </c>
      <c r="D215" s="1" t="s">
        <v>56</v>
      </c>
      <c r="E215" s="1" t="s">
        <v>2323</v>
      </c>
      <c r="F215" s="1" t="s">
        <v>2324</v>
      </c>
      <c r="G215" s="1" t="s">
        <v>1706</v>
      </c>
      <c r="H215" s="2" t="s">
        <v>1707</v>
      </c>
      <c r="I215" s="2" t="s">
        <v>61</v>
      </c>
      <c r="J215" s="2" t="s">
        <v>62</v>
      </c>
      <c r="K215" s="2" t="s">
        <v>63</v>
      </c>
      <c r="L215" s="2" t="s">
        <v>64</v>
      </c>
      <c r="M215" s="3">
        <v>5802861.7999999998</v>
      </c>
      <c r="N215" s="15">
        <v>45344</v>
      </c>
      <c r="O215" s="1">
        <v>220476</v>
      </c>
      <c r="P215" s="1" t="s">
        <v>65</v>
      </c>
      <c r="Q215" s="1" t="s">
        <v>35</v>
      </c>
      <c r="R215" s="1" t="s">
        <v>66</v>
      </c>
      <c r="S215" s="1" t="s">
        <v>1708</v>
      </c>
      <c r="U215" s="1" t="s">
        <v>68</v>
      </c>
      <c r="W215" s="1" t="s">
        <v>39</v>
      </c>
    </row>
    <row r="216" spans="1:23" ht="24.95" customHeight="1" x14ac:dyDescent="0.25">
      <c r="A216" s="9">
        <f>SUBTOTAL(103,$F$1:F216)-1</f>
        <v>215</v>
      </c>
      <c r="B216" s="1" t="s">
        <v>2325</v>
      </c>
      <c r="C216" s="1" t="s">
        <v>2326</v>
      </c>
      <c r="E216" s="1" t="s">
        <v>2327</v>
      </c>
      <c r="F216" s="1" t="s">
        <v>2328</v>
      </c>
      <c r="G216" s="1" t="s">
        <v>167</v>
      </c>
      <c r="H216" s="2" t="s">
        <v>168</v>
      </c>
      <c r="I216" s="2" t="s">
        <v>2329</v>
      </c>
      <c r="J216" s="2" t="s">
        <v>2330</v>
      </c>
      <c r="K216" s="2" t="s">
        <v>2331</v>
      </c>
      <c r="L216" s="2" t="s">
        <v>2332</v>
      </c>
      <c r="M216" s="3">
        <v>520360.91</v>
      </c>
      <c r="N216" s="15">
        <v>45344</v>
      </c>
      <c r="O216" s="1">
        <v>5</v>
      </c>
      <c r="P216" s="1" t="s">
        <v>2333</v>
      </c>
      <c r="Q216" s="1" t="s">
        <v>1548</v>
      </c>
      <c r="R216" s="1" t="s">
        <v>302</v>
      </c>
      <c r="S216" s="1" t="s">
        <v>175</v>
      </c>
      <c r="U216" s="1" t="s">
        <v>2334</v>
      </c>
      <c r="W216" s="1" t="s">
        <v>39</v>
      </c>
    </row>
    <row r="217" spans="1:23" ht="24.95" customHeight="1" x14ac:dyDescent="0.25">
      <c r="A217" s="9">
        <f>SUBTOTAL(103,$F$1:F217)-1</f>
        <v>216</v>
      </c>
      <c r="B217" s="1" t="s">
        <v>2335</v>
      </c>
      <c r="C217" s="1" t="s">
        <v>2336</v>
      </c>
      <c r="E217" s="1" t="s">
        <v>2337</v>
      </c>
      <c r="F217" s="1" t="s">
        <v>2338</v>
      </c>
      <c r="G217" s="1" t="s">
        <v>167</v>
      </c>
      <c r="H217" s="2" t="s">
        <v>168</v>
      </c>
      <c r="I217" s="2" t="s">
        <v>2339</v>
      </c>
      <c r="J217" s="2" t="s">
        <v>2340</v>
      </c>
      <c r="K217" s="2" t="s">
        <v>2341</v>
      </c>
      <c r="L217" s="2" t="s">
        <v>2342</v>
      </c>
      <c r="M217" s="3">
        <v>1384697.83</v>
      </c>
      <c r="N217" s="15">
        <v>45344</v>
      </c>
      <c r="O217" s="1">
        <v>58</v>
      </c>
      <c r="P217" s="1" t="s">
        <v>2343</v>
      </c>
      <c r="Q217" s="1" t="s">
        <v>1548</v>
      </c>
      <c r="R217" s="1" t="s">
        <v>2344</v>
      </c>
      <c r="S217" s="1" t="s">
        <v>175</v>
      </c>
      <c r="U217" s="1" t="s">
        <v>2345</v>
      </c>
      <c r="W217" s="1" t="s">
        <v>39</v>
      </c>
    </row>
    <row r="218" spans="1:23" ht="24.95" customHeight="1" x14ac:dyDescent="0.25">
      <c r="A218" s="9">
        <f>SUBTOTAL(103,$F$1:F218)-1</f>
        <v>217</v>
      </c>
      <c r="E218" s="1" t="s">
        <v>2346</v>
      </c>
      <c r="F218" s="1" t="s">
        <v>2347</v>
      </c>
      <c r="G218" s="1" t="s">
        <v>1082</v>
      </c>
      <c r="H218" s="2" t="s">
        <v>1083</v>
      </c>
      <c r="I218" s="2" t="s">
        <v>2348</v>
      </c>
      <c r="J218" s="2" t="s">
        <v>2349</v>
      </c>
      <c r="K218" s="2" t="s">
        <v>2350</v>
      </c>
      <c r="L218" s="2" t="s">
        <v>2351</v>
      </c>
      <c r="M218" s="3">
        <v>8744331.4499999993</v>
      </c>
      <c r="N218" s="15">
        <v>45344</v>
      </c>
      <c r="O218" s="1">
        <v>9</v>
      </c>
      <c r="P218" s="1" t="s">
        <v>2352</v>
      </c>
      <c r="Q218" s="1" t="s">
        <v>35</v>
      </c>
      <c r="R218" s="1" t="s">
        <v>174</v>
      </c>
      <c r="S218" s="1" t="s">
        <v>1087</v>
      </c>
      <c r="U218" s="1" t="s">
        <v>2353</v>
      </c>
      <c r="W218" s="1" t="s">
        <v>39</v>
      </c>
    </row>
    <row r="219" spans="1:23" ht="24.95" customHeight="1" x14ac:dyDescent="0.25">
      <c r="A219" s="9">
        <f>SUBTOTAL(103,$F$1:F219)-1</f>
        <v>218</v>
      </c>
      <c r="B219" s="1" t="s">
        <v>2354</v>
      </c>
      <c r="E219" s="1" t="s">
        <v>2355</v>
      </c>
      <c r="F219" s="1" t="s">
        <v>2356</v>
      </c>
      <c r="G219" s="1" t="s">
        <v>2357</v>
      </c>
      <c r="H219" s="2" t="s">
        <v>2358</v>
      </c>
      <c r="I219" s="2" t="s">
        <v>2359</v>
      </c>
      <c r="J219" s="2" t="s">
        <v>2360</v>
      </c>
      <c r="K219" s="2" t="s">
        <v>2361</v>
      </c>
      <c r="L219" s="2" t="s">
        <v>2362</v>
      </c>
      <c r="M219" s="3">
        <v>973517.1</v>
      </c>
      <c r="N219" s="15">
        <v>45344</v>
      </c>
      <c r="O219" s="1">
        <v>1</v>
      </c>
      <c r="P219" s="1" t="s">
        <v>2363</v>
      </c>
      <c r="Q219" s="1" t="s">
        <v>35</v>
      </c>
      <c r="R219" s="1" t="s">
        <v>2364</v>
      </c>
      <c r="S219" s="1" t="s">
        <v>2365</v>
      </c>
      <c r="U219" s="1" t="s">
        <v>2366</v>
      </c>
      <c r="W219" s="1" t="s">
        <v>39</v>
      </c>
    </row>
    <row r="220" spans="1:23" ht="24.95" customHeight="1" x14ac:dyDescent="0.25">
      <c r="A220" s="9">
        <f>SUBTOTAL(103,$F$1:F220)-1</f>
        <v>219</v>
      </c>
      <c r="E220" s="1" t="s">
        <v>2367</v>
      </c>
      <c r="F220" s="1" t="s">
        <v>2368</v>
      </c>
      <c r="G220" s="1" t="s">
        <v>2369</v>
      </c>
      <c r="H220" s="2" t="s">
        <v>2370</v>
      </c>
      <c r="I220" s="2" t="s">
        <v>2371</v>
      </c>
      <c r="J220" s="2" t="s">
        <v>2372</v>
      </c>
      <c r="K220" s="2" t="s">
        <v>2373</v>
      </c>
      <c r="L220" s="2" t="s">
        <v>2372</v>
      </c>
      <c r="M220" s="3">
        <v>1925337.71</v>
      </c>
      <c r="N220" s="15">
        <v>45344</v>
      </c>
      <c r="O220" s="1">
        <v>2</v>
      </c>
      <c r="P220" s="1" t="s">
        <v>2374</v>
      </c>
      <c r="Q220" s="1" t="s">
        <v>1548</v>
      </c>
      <c r="R220" s="1" t="s">
        <v>130</v>
      </c>
      <c r="S220" s="1" t="s">
        <v>2375</v>
      </c>
      <c r="U220" s="1" t="s">
        <v>2371</v>
      </c>
      <c r="W220" s="1" t="s">
        <v>39</v>
      </c>
    </row>
    <row r="221" spans="1:23" ht="24.95" customHeight="1" x14ac:dyDescent="0.25">
      <c r="A221" s="9">
        <f>SUBTOTAL(103,$F$1:F221)-1</f>
        <v>220</v>
      </c>
      <c r="B221" s="1" t="s">
        <v>1934</v>
      </c>
      <c r="C221" s="1" t="s">
        <v>1935</v>
      </c>
      <c r="E221" s="1" t="s">
        <v>2376</v>
      </c>
      <c r="F221" s="1" t="s">
        <v>2377</v>
      </c>
      <c r="G221" s="1" t="s">
        <v>167</v>
      </c>
      <c r="H221" s="2" t="s">
        <v>168</v>
      </c>
      <c r="I221" s="2" t="s">
        <v>1938</v>
      </c>
      <c r="J221" s="2" t="s">
        <v>1939</v>
      </c>
      <c r="K221" s="2" t="s">
        <v>1940</v>
      </c>
      <c r="L221" s="2" t="s">
        <v>1941</v>
      </c>
      <c r="M221" s="3">
        <v>1023057.18</v>
      </c>
      <c r="N221" s="15">
        <v>45344</v>
      </c>
      <c r="O221" s="1">
        <v>181</v>
      </c>
      <c r="P221" s="1" t="s">
        <v>1942</v>
      </c>
      <c r="Q221" s="1" t="s">
        <v>1548</v>
      </c>
      <c r="R221" s="1" t="s">
        <v>1943</v>
      </c>
      <c r="S221" s="1" t="s">
        <v>175</v>
      </c>
      <c r="U221" s="1" t="s">
        <v>1944</v>
      </c>
      <c r="W221" s="1" t="s">
        <v>39</v>
      </c>
    </row>
    <row r="222" spans="1:23" ht="24.95" customHeight="1" x14ac:dyDescent="0.25">
      <c r="A222" s="9">
        <f>SUBTOTAL(103,$F$1:F222)-1</f>
        <v>221</v>
      </c>
      <c r="B222" s="1" t="s">
        <v>2378</v>
      </c>
      <c r="C222" s="1" t="s">
        <v>2379</v>
      </c>
      <c r="E222" s="1" t="s">
        <v>2380</v>
      </c>
      <c r="F222" s="1" t="s">
        <v>2381</v>
      </c>
      <c r="G222" s="1" t="s">
        <v>167</v>
      </c>
      <c r="H222" s="2" t="s">
        <v>168</v>
      </c>
      <c r="I222" s="2" t="s">
        <v>2382</v>
      </c>
      <c r="J222" s="2" t="s">
        <v>2383</v>
      </c>
      <c r="K222" s="2" t="s">
        <v>2384</v>
      </c>
      <c r="L222" s="2" t="s">
        <v>2385</v>
      </c>
      <c r="M222" s="3">
        <v>581059.39</v>
      </c>
      <c r="N222" s="15">
        <v>45344</v>
      </c>
      <c r="O222" s="1">
        <v>26</v>
      </c>
      <c r="P222" s="1" t="s">
        <v>2386</v>
      </c>
      <c r="Q222" s="1" t="s">
        <v>1548</v>
      </c>
      <c r="R222" s="1" t="s">
        <v>1986</v>
      </c>
      <c r="S222" s="1" t="s">
        <v>175</v>
      </c>
      <c r="U222" s="1" t="s">
        <v>2387</v>
      </c>
      <c r="W222" s="1" t="s">
        <v>270</v>
      </c>
    </row>
    <row r="223" spans="1:23" ht="24.95" customHeight="1" x14ac:dyDescent="0.25">
      <c r="A223" s="9">
        <f>SUBTOTAL(103,$F$1:F223)-1</f>
        <v>222</v>
      </c>
      <c r="C223" s="1" t="s">
        <v>2388</v>
      </c>
      <c r="E223" s="1" t="s">
        <v>2389</v>
      </c>
      <c r="F223" s="1" t="s">
        <v>2390</v>
      </c>
      <c r="G223" s="1" t="s">
        <v>167</v>
      </c>
      <c r="H223" s="2" t="s">
        <v>168</v>
      </c>
      <c r="I223" s="2" t="s">
        <v>2391</v>
      </c>
      <c r="J223" s="2" t="s">
        <v>2392</v>
      </c>
      <c r="K223" s="2" t="s">
        <v>2393</v>
      </c>
      <c r="L223" s="2" t="s">
        <v>2394</v>
      </c>
      <c r="M223" s="3">
        <v>515520.18</v>
      </c>
      <c r="N223" s="15">
        <v>45344</v>
      </c>
      <c r="O223" s="1">
        <v>15</v>
      </c>
      <c r="P223" s="1" t="s">
        <v>2395</v>
      </c>
      <c r="Q223" s="1" t="s">
        <v>1548</v>
      </c>
      <c r="R223" s="1" t="s">
        <v>1986</v>
      </c>
      <c r="S223" s="1" t="s">
        <v>175</v>
      </c>
      <c r="U223" s="1" t="s">
        <v>2396</v>
      </c>
      <c r="W223" s="1" t="s">
        <v>270</v>
      </c>
    </row>
    <row r="224" spans="1:23" ht="24.95" customHeight="1" x14ac:dyDescent="0.25">
      <c r="A224" s="9">
        <f>SUBTOTAL(103,$F$1:F224)-1</f>
        <v>223</v>
      </c>
      <c r="B224" s="1" t="s">
        <v>54</v>
      </c>
      <c r="C224" s="1" t="s">
        <v>55</v>
      </c>
      <c r="D224" s="1" t="s">
        <v>56</v>
      </c>
      <c r="E224" s="1" t="s">
        <v>2397</v>
      </c>
      <c r="F224" s="1" t="s">
        <v>2398</v>
      </c>
      <c r="G224" s="1" t="s">
        <v>2399</v>
      </c>
      <c r="H224" s="2" t="s">
        <v>2400</v>
      </c>
      <c r="I224" s="2" t="s">
        <v>61</v>
      </c>
      <c r="J224" s="2" t="s">
        <v>62</v>
      </c>
      <c r="K224" s="2" t="s">
        <v>63</v>
      </c>
      <c r="L224" s="2" t="s">
        <v>64</v>
      </c>
      <c r="M224" s="3">
        <v>2003296.54</v>
      </c>
      <c r="N224" s="15">
        <v>45343</v>
      </c>
      <c r="O224" s="1">
        <v>220478</v>
      </c>
      <c r="P224" s="1" t="s">
        <v>65</v>
      </c>
      <c r="Q224" s="1" t="s">
        <v>35</v>
      </c>
      <c r="R224" s="1" t="s">
        <v>66</v>
      </c>
      <c r="S224" s="1" t="s">
        <v>2401</v>
      </c>
      <c r="U224" s="1" t="s">
        <v>68</v>
      </c>
      <c r="W224" s="1" t="s">
        <v>39</v>
      </c>
    </row>
    <row r="225" spans="1:23" ht="24.95" customHeight="1" x14ac:dyDescent="0.25">
      <c r="A225" s="9">
        <f>SUBTOTAL(103,$F$1:F225)-1</f>
        <v>224</v>
      </c>
      <c r="B225" s="1" t="s">
        <v>2402</v>
      </c>
      <c r="E225" s="1" t="s">
        <v>2403</v>
      </c>
      <c r="F225" s="1" t="s">
        <v>2404</v>
      </c>
      <c r="G225" s="1" t="s">
        <v>2405</v>
      </c>
      <c r="H225" s="2" t="s">
        <v>2406</v>
      </c>
      <c r="I225" s="2" t="s">
        <v>2407</v>
      </c>
      <c r="J225" s="2" t="s">
        <v>2408</v>
      </c>
      <c r="K225" s="2" t="s">
        <v>2409</v>
      </c>
      <c r="L225" s="2" t="s">
        <v>2410</v>
      </c>
      <c r="M225" s="3">
        <v>1419539.67</v>
      </c>
      <c r="N225" s="15">
        <v>45344</v>
      </c>
      <c r="O225" s="1">
        <v>41</v>
      </c>
      <c r="P225" s="1" t="s">
        <v>2411</v>
      </c>
      <c r="Q225" s="1" t="s">
        <v>1548</v>
      </c>
      <c r="R225" s="1" t="s">
        <v>389</v>
      </c>
      <c r="S225" s="1" t="s">
        <v>2412</v>
      </c>
      <c r="U225" s="1" t="s">
        <v>2413</v>
      </c>
      <c r="W225" s="1" t="s">
        <v>39</v>
      </c>
    </row>
    <row r="226" spans="1:23" ht="24.95" customHeight="1" x14ac:dyDescent="0.25">
      <c r="A226" s="9">
        <f>SUBTOTAL(103,$F$1:F226)-1</f>
        <v>225</v>
      </c>
      <c r="B226" s="1" t="s">
        <v>2414</v>
      </c>
      <c r="C226" s="1" t="s">
        <v>2415</v>
      </c>
      <c r="E226" s="1" t="s">
        <v>2416</v>
      </c>
      <c r="F226" s="1" t="s">
        <v>2417</v>
      </c>
      <c r="G226" s="1" t="s">
        <v>167</v>
      </c>
      <c r="H226" s="2" t="s">
        <v>168</v>
      </c>
      <c r="I226" s="2" t="s">
        <v>2418</v>
      </c>
      <c r="J226" s="2" t="s">
        <v>2419</v>
      </c>
      <c r="K226" s="2" t="s">
        <v>2420</v>
      </c>
      <c r="L226" s="2" t="s">
        <v>2421</v>
      </c>
      <c r="M226" s="3">
        <v>540324.79</v>
      </c>
      <c r="N226" s="15">
        <v>45344</v>
      </c>
      <c r="O226" s="1">
        <v>101</v>
      </c>
      <c r="P226" s="1" t="s">
        <v>2422</v>
      </c>
      <c r="Q226" s="1" t="s">
        <v>1548</v>
      </c>
      <c r="R226" s="1" t="s">
        <v>174</v>
      </c>
      <c r="S226" s="1" t="s">
        <v>175</v>
      </c>
      <c r="U226" s="1" t="s">
        <v>2423</v>
      </c>
      <c r="W226" s="1" t="s">
        <v>270</v>
      </c>
    </row>
    <row r="227" spans="1:23" ht="24.95" customHeight="1" x14ac:dyDescent="0.25">
      <c r="A227" s="9">
        <f>SUBTOTAL(103,$F$1:F227)-1</f>
        <v>226</v>
      </c>
      <c r="C227" s="1" t="s">
        <v>2424</v>
      </c>
      <c r="E227" s="1" t="s">
        <v>2425</v>
      </c>
      <c r="F227" s="1" t="s">
        <v>2426</v>
      </c>
      <c r="G227" s="1" t="s">
        <v>167</v>
      </c>
      <c r="H227" s="2" t="s">
        <v>168</v>
      </c>
      <c r="I227" s="2" t="s">
        <v>2427</v>
      </c>
      <c r="J227" s="2" t="s">
        <v>2428</v>
      </c>
      <c r="K227" s="2" t="s">
        <v>2429</v>
      </c>
      <c r="L227" s="2" t="s">
        <v>2430</v>
      </c>
      <c r="M227" s="3">
        <v>555165.61</v>
      </c>
      <c r="N227" s="15">
        <v>45344</v>
      </c>
      <c r="O227" s="1">
        <v>10</v>
      </c>
      <c r="P227" s="1" t="s">
        <v>2431</v>
      </c>
      <c r="Q227" s="1" t="s">
        <v>1548</v>
      </c>
      <c r="R227" s="1" t="s">
        <v>302</v>
      </c>
      <c r="S227" s="1" t="s">
        <v>175</v>
      </c>
      <c r="U227" s="1" t="s">
        <v>2432</v>
      </c>
      <c r="W227" s="1" t="s">
        <v>270</v>
      </c>
    </row>
    <row r="228" spans="1:23" ht="24.95" customHeight="1" x14ac:dyDescent="0.25">
      <c r="A228" s="9">
        <f>SUBTOTAL(103,$F$1:F228)-1</f>
        <v>227</v>
      </c>
      <c r="B228" s="1" t="s">
        <v>2433</v>
      </c>
      <c r="E228" s="1" t="s">
        <v>2434</v>
      </c>
      <c r="F228" s="1" t="s">
        <v>2435</v>
      </c>
      <c r="G228" s="1" t="s">
        <v>2436</v>
      </c>
      <c r="H228" s="2" t="s">
        <v>2437</v>
      </c>
      <c r="I228" s="2" t="s">
        <v>2438</v>
      </c>
      <c r="J228" s="2" t="s">
        <v>2439</v>
      </c>
      <c r="K228" s="2" t="s">
        <v>2440</v>
      </c>
      <c r="L228" s="2" t="s">
        <v>2441</v>
      </c>
      <c r="M228" s="3">
        <v>1100000</v>
      </c>
      <c r="N228" s="15">
        <v>45343</v>
      </c>
      <c r="O228" s="1">
        <v>3</v>
      </c>
      <c r="P228" s="1" t="s">
        <v>2442</v>
      </c>
      <c r="Q228" s="1" t="s">
        <v>35</v>
      </c>
      <c r="R228" s="1" t="s">
        <v>224</v>
      </c>
      <c r="S228" s="1" t="s">
        <v>2443</v>
      </c>
      <c r="U228" s="1" t="s">
        <v>2444</v>
      </c>
      <c r="W228" s="1" t="s">
        <v>392</v>
      </c>
    </row>
    <row r="229" spans="1:23" ht="24.95" customHeight="1" x14ac:dyDescent="0.25">
      <c r="A229" s="9">
        <f>SUBTOTAL(103,$F$1:F229)-1</f>
        <v>228</v>
      </c>
      <c r="C229" s="1" t="s">
        <v>2445</v>
      </c>
      <c r="E229" s="1" t="s">
        <v>2446</v>
      </c>
      <c r="F229" s="1" t="s">
        <v>2447</v>
      </c>
      <c r="G229" s="1" t="s">
        <v>2448</v>
      </c>
      <c r="H229" s="2" t="s">
        <v>2449</v>
      </c>
      <c r="I229" s="2" t="s">
        <v>2450</v>
      </c>
      <c r="J229" s="2" t="s">
        <v>2451</v>
      </c>
      <c r="K229" s="2" t="s">
        <v>2452</v>
      </c>
      <c r="L229" s="2" t="s">
        <v>2453</v>
      </c>
      <c r="M229" s="3">
        <v>2074169.74</v>
      </c>
      <c r="N229" s="15">
        <v>45343</v>
      </c>
      <c r="O229" s="1">
        <v>6</v>
      </c>
      <c r="P229" s="1" t="s">
        <v>2454</v>
      </c>
      <c r="Q229" s="1" t="s">
        <v>35</v>
      </c>
      <c r="R229" s="1" t="s">
        <v>1148</v>
      </c>
      <c r="S229" s="1" t="s">
        <v>2455</v>
      </c>
      <c r="U229" s="1" t="s">
        <v>2456</v>
      </c>
      <c r="W229" s="1" t="s">
        <v>39</v>
      </c>
    </row>
    <row r="230" spans="1:23" ht="24.95" customHeight="1" x14ac:dyDescent="0.25">
      <c r="A230" s="9">
        <f>SUBTOTAL(103,$F$1:F230)-1</f>
        <v>229</v>
      </c>
      <c r="C230" s="1" t="s">
        <v>2457</v>
      </c>
      <c r="E230" s="1" t="s">
        <v>2458</v>
      </c>
      <c r="F230" s="1" t="s">
        <v>2459</v>
      </c>
      <c r="G230" s="1" t="s">
        <v>1888</v>
      </c>
      <c r="H230" s="2" t="s">
        <v>1889</v>
      </c>
      <c r="I230" s="2" t="s">
        <v>2460</v>
      </c>
      <c r="J230" s="2" t="s">
        <v>2461</v>
      </c>
      <c r="K230" s="2" t="s">
        <v>2462</v>
      </c>
      <c r="L230" s="2" t="s">
        <v>2463</v>
      </c>
      <c r="M230" s="3">
        <v>641048.96</v>
      </c>
      <c r="N230" s="15">
        <v>45343</v>
      </c>
      <c r="O230" s="1">
        <v>24</v>
      </c>
      <c r="P230" s="1" t="s">
        <v>2464</v>
      </c>
      <c r="Q230" s="1" t="s">
        <v>35</v>
      </c>
      <c r="R230" s="1" t="s">
        <v>2465</v>
      </c>
      <c r="S230" s="1" t="s">
        <v>1896</v>
      </c>
      <c r="U230" s="1" t="s">
        <v>2466</v>
      </c>
      <c r="W230" s="1" t="s">
        <v>2467</v>
      </c>
    </row>
    <row r="231" spans="1:23" ht="24.95" customHeight="1" x14ac:dyDescent="0.25">
      <c r="A231" s="9">
        <f>SUBTOTAL(103,$F$1:F231)-1</f>
        <v>230</v>
      </c>
      <c r="B231" s="1" t="s">
        <v>54</v>
      </c>
      <c r="C231" s="1" t="s">
        <v>55</v>
      </c>
      <c r="D231" s="1" t="s">
        <v>56</v>
      </c>
      <c r="E231" s="1" t="s">
        <v>2468</v>
      </c>
      <c r="F231" s="1" t="s">
        <v>2469</v>
      </c>
      <c r="G231" s="1" t="s">
        <v>2470</v>
      </c>
      <c r="H231" s="2" t="s">
        <v>2471</v>
      </c>
      <c r="I231" s="2" t="s">
        <v>61</v>
      </c>
      <c r="J231" s="2" t="s">
        <v>62</v>
      </c>
      <c r="K231" s="2" t="s">
        <v>63</v>
      </c>
      <c r="L231" s="2" t="s">
        <v>64</v>
      </c>
      <c r="M231" s="3">
        <v>594328.98</v>
      </c>
      <c r="N231" s="15">
        <v>45343</v>
      </c>
      <c r="O231" s="1">
        <v>220478</v>
      </c>
      <c r="P231" s="1" t="s">
        <v>65</v>
      </c>
      <c r="Q231" s="1" t="s">
        <v>35</v>
      </c>
      <c r="R231" s="1" t="s">
        <v>66</v>
      </c>
      <c r="S231" s="1" t="s">
        <v>2472</v>
      </c>
      <c r="U231" s="1" t="s">
        <v>68</v>
      </c>
      <c r="W231" s="1" t="s">
        <v>39</v>
      </c>
    </row>
    <row r="232" spans="1:23" ht="24.95" customHeight="1" x14ac:dyDescent="0.25">
      <c r="A232" s="9">
        <f>SUBTOTAL(103,$F$1:F232)-1</f>
        <v>231</v>
      </c>
      <c r="B232" s="1" t="s">
        <v>2473</v>
      </c>
      <c r="C232" s="1" t="s">
        <v>2474</v>
      </c>
      <c r="E232" s="1" t="s">
        <v>2475</v>
      </c>
      <c r="F232" s="1" t="s">
        <v>2476</v>
      </c>
      <c r="G232" s="1" t="s">
        <v>2477</v>
      </c>
      <c r="H232" s="2" t="s">
        <v>2478</v>
      </c>
      <c r="I232" s="2" t="s">
        <v>2479</v>
      </c>
      <c r="J232" s="2" t="s">
        <v>2480</v>
      </c>
      <c r="K232" s="2" t="s">
        <v>2481</v>
      </c>
      <c r="L232" s="2" t="s">
        <v>2482</v>
      </c>
      <c r="M232" s="3">
        <v>4167995.99</v>
      </c>
      <c r="N232" s="15">
        <v>45344</v>
      </c>
      <c r="O232" s="1">
        <v>193</v>
      </c>
      <c r="P232" s="1" t="s">
        <v>2483</v>
      </c>
      <c r="Q232" s="1" t="s">
        <v>35</v>
      </c>
      <c r="R232" s="1" t="s">
        <v>1638</v>
      </c>
      <c r="S232" s="1" t="s">
        <v>2484</v>
      </c>
      <c r="U232" s="1" t="s">
        <v>2485</v>
      </c>
      <c r="W232" s="1" t="s">
        <v>39</v>
      </c>
    </row>
    <row r="233" spans="1:23" ht="24.95" customHeight="1" x14ac:dyDescent="0.25">
      <c r="A233" s="9">
        <f>SUBTOTAL(103,$F$1:F233)-1</f>
        <v>232</v>
      </c>
      <c r="B233" s="1" t="s">
        <v>2486</v>
      </c>
      <c r="C233" s="1" t="s">
        <v>2487</v>
      </c>
      <c r="D233" s="1" t="s">
        <v>2488</v>
      </c>
      <c r="E233" s="1" t="s">
        <v>2489</v>
      </c>
      <c r="F233" s="1" t="s">
        <v>2490</v>
      </c>
      <c r="G233" s="1" t="s">
        <v>167</v>
      </c>
      <c r="H233" s="2" t="s">
        <v>168</v>
      </c>
      <c r="I233" s="2" t="s">
        <v>2491</v>
      </c>
      <c r="J233" s="2" t="s">
        <v>2492</v>
      </c>
      <c r="K233" s="2" t="s">
        <v>2493</v>
      </c>
      <c r="L233" s="2" t="s">
        <v>2494</v>
      </c>
      <c r="M233" s="3">
        <v>915076.13</v>
      </c>
      <c r="N233" s="15">
        <v>45344</v>
      </c>
      <c r="O233" s="1">
        <v>574</v>
      </c>
      <c r="P233" s="1" t="s">
        <v>2495</v>
      </c>
      <c r="Q233" s="1" t="s">
        <v>1548</v>
      </c>
      <c r="R233" s="1" t="s">
        <v>2162</v>
      </c>
      <c r="S233" s="1" t="s">
        <v>175</v>
      </c>
      <c r="U233" s="1" t="s">
        <v>2496</v>
      </c>
      <c r="W233" s="1" t="s">
        <v>39</v>
      </c>
    </row>
    <row r="234" spans="1:23" ht="24.95" customHeight="1" x14ac:dyDescent="0.25">
      <c r="A234" s="9">
        <f>SUBTOTAL(103,$F$1:F234)-1</f>
        <v>233</v>
      </c>
      <c r="E234" s="1" t="s">
        <v>2497</v>
      </c>
      <c r="F234" s="1" t="s">
        <v>2498</v>
      </c>
      <c r="G234" s="1" t="s">
        <v>2499</v>
      </c>
      <c r="H234" s="2" t="s">
        <v>2500</v>
      </c>
      <c r="I234" s="2" t="s">
        <v>2501</v>
      </c>
      <c r="J234" s="2" t="s">
        <v>2502</v>
      </c>
      <c r="K234" s="2" t="s">
        <v>2503</v>
      </c>
      <c r="L234" s="2" t="s">
        <v>2504</v>
      </c>
      <c r="M234" s="3">
        <v>2096414</v>
      </c>
      <c r="N234" s="15">
        <v>45344</v>
      </c>
      <c r="O234" s="1">
        <v>14</v>
      </c>
      <c r="P234" s="1" t="s">
        <v>2505</v>
      </c>
      <c r="Q234" s="1" t="s">
        <v>1548</v>
      </c>
      <c r="R234" s="1" t="s">
        <v>130</v>
      </c>
      <c r="S234" s="1" t="s">
        <v>2506</v>
      </c>
      <c r="U234" s="1" t="s">
        <v>2507</v>
      </c>
      <c r="W234" s="1" t="s">
        <v>39</v>
      </c>
    </row>
    <row r="235" spans="1:23" ht="24.95" customHeight="1" x14ac:dyDescent="0.25">
      <c r="A235" s="9">
        <f>SUBTOTAL(103,$F$1:F235)-1</f>
        <v>234</v>
      </c>
      <c r="E235" s="1" t="s">
        <v>2508</v>
      </c>
      <c r="F235" s="1" t="s">
        <v>2509</v>
      </c>
      <c r="G235" s="1" t="s">
        <v>2510</v>
      </c>
      <c r="H235" s="2" t="s">
        <v>2511</v>
      </c>
      <c r="I235" s="2" t="s">
        <v>2512</v>
      </c>
      <c r="J235" s="2" t="s">
        <v>2513</v>
      </c>
      <c r="K235" s="2" t="s">
        <v>2514</v>
      </c>
      <c r="L235" s="2" t="s">
        <v>2515</v>
      </c>
      <c r="M235" s="3">
        <v>1962645.2</v>
      </c>
      <c r="N235" s="15">
        <v>45344</v>
      </c>
      <c r="O235" s="1">
        <v>5</v>
      </c>
      <c r="P235" s="1" t="s">
        <v>2516</v>
      </c>
      <c r="Q235" s="1" t="s">
        <v>35</v>
      </c>
      <c r="R235" s="1" t="s">
        <v>1076</v>
      </c>
      <c r="S235" s="1" t="s">
        <v>2517</v>
      </c>
      <c r="U235" s="1" t="s">
        <v>2518</v>
      </c>
      <c r="W235" s="1" t="s">
        <v>39</v>
      </c>
    </row>
    <row r="236" spans="1:23" ht="24.95" customHeight="1" x14ac:dyDescent="0.25">
      <c r="A236" s="9">
        <f>SUBTOTAL(103,$F$1:F236)-1</f>
        <v>235</v>
      </c>
      <c r="B236" s="1" t="s">
        <v>2519</v>
      </c>
      <c r="C236" s="1" t="s">
        <v>2520</v>
      </c>
      <c r="E236" s="1" t="s">
        <v>2521</v>
      </c>
      <c r="F236" s="1" t="s">
        <v>2522</v>
      </c>
      <c r="G236" s="1" t="s">
        <v>2523</v>
      </c>
      <c r="H236" s="2" t="s">
        <v>2524</v>
      </c>
      <c r="I236" s="2" t="s">
        <v>2525</v>
      </c>
      <c r="J236" s="2" t="s">
        <v>2526</v>
      </c>
      <c r="K236" s="2" t="s">
        <v>2527</v>
      </c>
      <c r="L236" s="2" t="s">
        <v>2528</v>
      </c>
      <c r="M236" s="3">
        <v>49277479.18</v>
      </c>
      <c r="N236" s="15">
        <v>45344</v>
      </c>
      <c r="O236" s="1">
        <v>859</v>
      </c>
      <c r="P236" s="1" t="s">
        <v>2529</v>
      </c>
      <c r="Q236" s="1" t="s">
        <v>1548</v>
      </c>
      <c r="R236" s="1" t="s">
        <v>1943</v>
      </c>
      <c r="S236" s="1" t="s">
        <v>2530</v>
      </c>
      <c r="U236" s="1" t="s">
        <v>2531</v>
      </c>
      <c r="W236" s="1" t="s">
        <v>39</v>
      </c>
    </row>
    <row r="237" spans="1:23" ht="24.95" customHeight="1" x14ac:dyDescent="0.25">
      <c r="A237" s="9">
        <f>SUBTOTAL(103,$F$1:F237)-1</f>
        <v>236</v>
      </c>
      <c r="B237" s="1" t="s">
        <v>2532</v>
      </c>
      <c r="C237" s="1" t="s">
        <v>2533</v>
      </c>
      <c r="D237" s="1" t="s">
        <v>2534</v>
      </c>
      <c r="E237" s="1" t="s">
        <v>2535</v>
      </c>
      <c r="F237" s="1" t="s">
        <v>2536</v>
      </c>
      <c r="G237" s="1" t="s">
        <v>2537</v>
      </c>
      <c r="H237" s="2" t="s">
        <v>2538</v>
      </c>
      <c r="I237" s="2" t="s">
        <v>2539</v>
      </c>
      <c r="J237" s="2" t="s">
        <v>2540</v>
      </c>
      <c r="K237" s="2" t="s">
        <v>2541</v>
      </c>
      <c r="L237" s="2" t="s">
        <v>2542</v>
      </c>
      <c r="M237" s="3">
        <v>10796070.1</v>
      </c>
      <c r="N237" s="15">
        <v>45344</v>
      </c>
      <c r="O237" s="1">
        <v>57132</v>
      </c>
      <c r="P237" s="1" t="s">
        <v>2543</v>
      </c>
      <c r="Q237" s="1" t="s">
        <v>35</v>
      </c>
      <c r="R237" s="1" t="s">
        <v>2544</v>
      </c>
      <c r="S237" s="1" t="s">
        <v>2545</v>
      </c>
      <c r="U237" s="1" t="s">
        <v>2546</v>
      </c>
      <c r="W237" s="1" t="s">
        <v>39</v>
      </c>
    </row>
    <row r="238" spans="1:23" ht="24.95" customHeight="1" x14ac:dyDescent="0.25">
      <c r="A238" s="9">
        <f>SUBTOTAL(103,$F$1:F238)-1</f>
        <v>237</v>
      </c>
      <c r="C238" s="1" t="s">
        <v>2547</v>
      </c>
      <c r="D238" s="1" t="s">
        <v>2548</v>
      </c>
      <c r="E238" s="1" t="s">
        <v>2549</v>
      </c>
      <c r="F238" s="1" t="s">
        <v>2550</v>
      </c>
      <c r="H238" s="2" t="s">
        <v>347</v>
      </c>
      <c r="I238" s="2" t="s">
        <v>2551</v>
      </c>
      <c r="J238" s="2" t="s">
        <v>2552</v>
      </c>
      <c r="K238" s="2" t="s">
        <v>2553</v>
      </c>
      <c r="L238" s="2" t="s">
        <v>2552</v>
      </c>
      <c r="M238" s="3">
        <v>6225100</v>
      </c>
      <c r="N238" s="15">
        <v>45344</v>
      </c>
      <c r="O238" s="1">
        <v>1</v>
      </c>
      <c r="P238" s="1" t="s">
        <v>2554</v>
      </c>
      <c r="Q238" s="1" t="s">
        <v>35</v>
      </c>
      <c r="R238" s="1" t="s">
        <v>2555</v>
      </c>
      <c r="S238" s="1" t="s">
        <v>2556</v>
      </c>
      <c r="U238" s="1" t="s">
        <v>2557</v>
      </c>
      <c r="W238" s="1" t="s">
        <v>39</v>
      </c>
    </row>
    <row r="239" spans="1:23" ht="24.95" customHeight="1" x14ac:dyDescent="0.25">
      <c r="A239" s="9">
        <f>SUBTOTAL(103,$F$1:F239)-1</f>
        <v>238</v>
      </c>
      <c r="B239" s="1" t="s">
        <v>2558</v>
      </c>
      <c r="C239" s="1" t="s">
        <v>2559</v>
      </c>
      <c r="E239" s="1" t="s">
        <v>2560</v>
      </c>
      <c r="F239" s="1" t="s">
        <v>2561</v>
      </c>
      <c r="G239" s="1" t="s">
        <v>1249</v>
      </c>
      <c r="H239" s="2" t="s">
        <v>1250</v>
      </c>
      <c r="I239" s="2" t="s">
        <v>2562</v>
      </c>
      <c r="J239" s="2" t="s">
        <v>2563</v>
      </c>
      <c r="K239" s="2" t="s">
        <v>2564</v>
      </c>
      <c r="L239" s="2" t="s">
        <v>2565</v>
      </c>
      <c r="M239" s="3">
        <v>1944847.87</v>
      </c>
      <c r="N239" s="15">
        <v>45344</v>
      </c>
      <c r="O239" s="1">
        <v>70</v>
      </c>
      <c r="P239" s="1" t="s">
        <v>2566</v>
      </c>
      <c r="Q239" s="1" t="s">
        <v>35</v>
      </c>
      <c r="R239" s="1" t="s">
        <v>174</v>
      </c>
      <c r="S239" s="1" t="s">
        <v>1251</v>
      </c>
      <c r="U239" s="1" t="s">
        <v>2567</v>
      </c>
      <c r="W239" s="1" t="s">
        <v>39</v>
      </c>
    </row>
    <row r="240" spans="1:23" ht="24.95" customHeight="1" x14ac:dyDescent="0.25">
      <c r="A240" s="9">
        <f>SUBTOTAL(103,$F$1:F240)-1</f>
        <v>239</v>
      </c>
      <c r="E240" s="1" t="s">
        <v>2568</v>
      </c>
      <c r="F240" s="1" t="s">
        <v>2569</v>
      </c>
      <c r="G240" s="1" t="s">
        <v>2499</v>
      </c>
      <c r="H240" s="2" t="s">
        <v>2500</v>
      </c>
      <c r="I240" s="2" t="s">
        <v>2501</v>
      </c>
      <c r="J240" s="2" t="s">
        <v>2502</v>
      </c>
      <c r="K240" s="2" t="s">
        <v>2503</v>
      </c>
      <c r="L240" s="2" t="s">
        <v>2504</v>
      </c>
      <c r="M240" s="3">
        <v>725013</v>
      </c>
      <c r="N240" s="15">
        <v>45344</v>
      </c>
      <c r="O240" s="1">
        <v>14</v>
      </c>
      <c r="P240" s="1" t="s">
        <v>2505</v>
      </c>
      <c r="Q240" s="1" t="s">
        <v>1548</v>
      </c>
      <c r="R240" s="1" t="s">
        <v>130</v>
      </c>
      <c r="S240" s="1" t="s">
        <v>2506</v>
      </c>
      <c r="U240" s="1" t="s">
        <v>2507</v>
      </c>
      <c r="W240" s="1" t="s">
        <v>39</v>
      </c>
    </row>
    <row r="241" spans="1:23" ht="24.95" customHeight="1" x14ac:dyDescent="0.25">
      <c r="A241" s="9">
        <f>SUBTOTAL(103,$F$1:F241)-1</f>
        <v>240</v>
      </c>
      <c r="B241" s="1" t="s">
        <v>2570</v>
      </c>
      <c r="C241" s="1" t="s">
        <v>2571</v>
      </c>
      <c r="E241" s="1" t="s">
        <v>2572</v>
      </c>
      <c r="F241" s="1" t="s">
        <v>2573</v>
      </c>
      <c r="G241" s="1" t="s">
        <v>2574</v>
      </c>
      <c r="H241" s="2" t="s">
        <v>2575</v>
      </c>
      <c r="I241" s="2" t="s">
        <v>2576</v>
      </c>
      <c r="J241" s="2" t="s">
        <v>2577</v>
      </c>
      <c r="K241" s="2" t="s">
        <v>2578</v>
      </c>
      <c r="L241" s="2" t="s">
        <v>2579</v>
      </c>
      <c r="M241" s="3">
        <v>506932.1</v>
      </c>
      <c r="N241" s="15">
        <v>45344</v>
      </c>
      <c r="O241" s="1">
        <v>79</v>
      </c>
      <c r="P241" s="1" t="s">
        <v>2580</v>
      </c>
      <c r="Q241" s="1" t="s">
        <v>35</v>
      </c>
      <c r="R241" s="1" t="s">
        <v>2581</v>
      </c>
      <c r="S241" s="1" t="s">
        <v>2582</v>
      </c>
      <c r="U241" s="1" t="s">
        <v>2583</v>
      </c>
      <c r="W241" s="1" t="s">
        <v>39</v>
      </c>
    </row>
    <row r="242" spans="1:23" ht="24.95" customHeight="1" x14ac:dyDescent="0.25">
      <c r="A242" s="9">
        <f>SUBTOTAL(103,$F$1:F242)-1</f>
        <v>241</v>
      </c>
      <c r="E242" s="1" t="s">
        <v>2584</v>
      </c>
      <c r="F242" s="1" t="s">
        <v>2585</v>
      </c>
      <c r="G242" s="1" t="s">
        <v>2586</v>
      </c>
      <c r="H242" s="2" t="s">
        <v>2587</v>
      </c>
      <c r="I242" s="2" t="s">
        <v>2588</v>
      </c>
      <c r="J242" s="2" t="s">
        <v>2589</v>
      </c>
      <c r="K242" s="2" t="s">
        <v>2590</v>
      </c>
      <c r="M242" s="3">
        <v>836250.72</v>
      </c>
      <c r="N242" s="15">
        <v>45344</v>
      </c>
      <c r="O242" s="1">
        <v>1</v>
      </c>
      <c r="P242" s="1" t="s">
        <v>2591</v>
      </c>
      <c r="Q242" s="1" t="s">
        <v>35</v>
      </c>
      <c r="R242" s="1" t="s">
        <v>224</v>
      </c>
      <c r="S242" s="1" t="s">
        <v>2592</v>
      </c>
      <c r="U242" s="1" t="s">
        <v>2588</v>
      </c>
      <c r="W242" s="1" t="s">
        <v>39</v>
      </c>
    </row>
    <row r="243" spans="1:23" ht="24.95" customHeight="1" x14ac:dyDescent="0.25">
      <c r="A243" s="9">
        <f>SUBTOTAL(103,$F$1:F243)-1</f>
        <v>242</v>
      </c>
      <c r="B243" s="1" t="s">
        <v>2593</v>
      </c>
      <c r="E243" s="1" t="s">
        <v>2594</v>
      </c>
      <c r="F243" s="1" t="s">
        <v>2595</v>
      </c>
      <c r="G243" s="1" t="s">
        <v>2596</v>
      </c>
      <c r="H243" s="2" t="s">
        <v>2597</v>
      </c>
      <c r="I243" s="2" t="s">
        <v>2598</v>
      </c>
      <c r="J243" s="2" t="s">
        <v>2599</v>
      </c>
      <c r="K243" s="2" t="s">
        <v>2600</v>
      </c>
      <c r="L243" s="2" t="s">
        <v>2601</v>
      </c>
      <c r="M243" s="3">
        <v>6347821.0199999996</v>
      </c>
      <c r="N243" s="15">
        <v>45344</v>
      </c>
      <c r="O243" s="1">
        <v>11</v>
      </c>
      <c r="P243" s="1" t="s">
        <v>2602</v>
      </c>
      <c r="Q243" s="1" t="s">
        <v>35</v>
      </c>
      <c r="R243" s="1" t="s">
        <v>1764</v>
      </c>
      <c r="S243" s="1" t="s">
        <v>2603</v>
      </c>
      <c r="U243" s="1" t="s">
        <v>2604</v>
      </c>
      <c r="W243" s="1" t="s">
        <v>39</v>
      </c>
    </row>
    <row r="244" spans="1:23" ht="24.95" customHeight="1" x14ac:dyDescent="0.25">
      <c r="A244" s="9">
        <f>SUBTOTAL(103,$F$1:F244)-1</f>
        <v>243</v>
      </c>
      <c r="B244" s="1" t="s">
        <v>2605</v>
      </c>
      <c r="C244" s="1" t="s">
        <v>2606</v>
      </c>
      <c r="E244" s="1" t="s">
        <v>2607</v>
      </c>
      <c r="F244" s="1" t="s">
        <v>2608</v>
      </c>
      <c r="G244" s="1" t="s">
        <v>2609</v>
      </c>
      <c r="H244" s="2" t="s">
        <v>2610</v>
      </c>
      <c r="I244" s="2" t="s">
        <v>2611</v>
      </c>
      <c r="J244" s="2" t="s">
        <v>2612</v>
      </c>
      <c r="K244" s="2" t="s">
        <v>2613</v>
      </c>
      <c r="L244" s="2" t="s">
        <v>2614</v>
      </c>
      <c r="M244" s="3">
        <v>764484.97</v>
      </c>
      <c r="N244" s="15">
        <v>45343</v>
      </c>
      <c r="O244" s="1">
        <v>80</v>
      </c>
      <c r="P244" s="1" t="s">
        <v>2615</v>
      </c>
      <c r="Q244" s="1" t="s">
        <v>35</v>
      </c>
      <c r="R244" s="1" t="s">
        <v>499</v>
      </c>
      <c r="S244" s="1" t="s">
        <v>2616</v>
      </c>
      <c r="U244" s="1" t="s">
        <v>2617</v>
      </c>
      <c r="W244" s="1" t="s">
        <v>39</v>
      </c>
    </row>
    <row r="245" spans="1:23" ht="24.95" customHeight="1" x14ac:dyDescent="0.25">
      <c r="A245" s="9">
        <f>SUBTOTAL(103,$F$1:F245)-1</f>
        <v>244</v>
      </c>
      <c r="E245" s="1" t="s">
        <v>2618</v>
      </c>
      <c r="F245" s="1" t="s">
        <v>2619</v>
      </c>
      <c r="G245" s="1" t="s">
        <v>2620</v>
      </c>
      <c r="H245" s="2" t="s">
        <v>2621</v>
      </c>
      <c r="J245" s="2" t="s">
        <v>347</v>
      </c>
      <c r="M245" s="3">
        <v>6389046.2199999997</v>
      </c>
      <c r="N245" s="15">
        <v>45343</v>
      </c>
      <c r="P245" s="1" t="s">
        <v>2622</v>
      </c>
      <c r="Q245" s="1" t="s">
        <v>35</v>
      </c>
      <c r="S245" s="1" t="s">
        <v>2623</v>
      </c>
      <c r="U245" s="1" t="s">
        <v>2624</v>
      </c>
      <c r="W245" s="1" t="s">
        <v>39</v>
      </c>
    </row>
    <row r="246" spans="1:23" ht="24.95" customHeight="1" x14ac:dyDescent="0.25">
      <c r="A246" s="9">
        <f>SUBTOTAL(103,$F$1:F246)-1</f>
        <v>245</v>
      </c>
      <c r="B246" s="1" t="s">
        <v>54</v>
      </c>
      <c r="C246" s="1" t="s">
        <v>55</v>
      </c>
      <c r="D246" s="1" t="s">
        <v>56</v>
      </c>
      <c r="E246" s="1" t="s">
        <v>2625</v>
      </c>
      <c r="F246" s="1" t="s">
        <v>2626</v>
      </c>
      <c r="G246" s="1" t="s">
        <v>1227</v>
      </c>
      <c r="H246" s="2" t="s">
        <v>1228</v>
      </c>
      <c r="I246" s="2" t="s">
        <v>61</v>
      </c>
      <c r="J246" s="2" t="s">
        <v>62</v>
      </c>
      <c r="K246" s="2" t="s">
        <v>63</v>
      </c>
      <c r="L246" s="2" t="s">
        <v>64</v>
      </c>
      <c r="M246" s="3">
        <v>1526700.08</v>
      </c>
      <c r="N246" s="15">
        <v>45343</v>
      </c>
      <c r="O246" s="1">
        <v>220480</v>
      </c>
      <c r="P246" s="1" t="s">
        <v>65</v>
      </c>
      <c r="Q246" s="1" t="s">
        <v>35</v>
      </c>
      <c r="R246" s="1" t="s">
        <v>66</v>
      </c>
      <c r="S246" s="1" t="s">
        <v>1229</v>
      </c>
      <c r="U246" s="1" t="s">
        <v>68</v>
      </c>
      <c r="W246" s="1" t="s">
        <v>39</v>
      </c>
    </row>
    <row r="247" spans="1:23" ht="24.95" customHeight="1" x14ac:dyDescent="0.25">
      <c r="A247" s="9">
        <f>SUBTOTAL(103,$F$1:F247)-1</f>
        <v>246</v>
      </c>
      <c r="B247" s="1" t="s">
        <v>2627</v>
      </c>
      <c r="C247" s="1" t="s">
        <v>2628</v>
      </c>
      <c r="E247" s="1" t="s">
        <v>2629</v>
      </c>
      <c r="F247" s="1" t="s">
        <v>2630</v>
      </c>
      <c r="G247" s="1" t="s">
        <v>2631</v>
      </c>
      <c r="H247" s="2" t="s">
        <v>2632</v>
      </c>
      <c r="I247" s="2" t="s">
        <v>2633</v>
      </c>
      <c r="J247" s="2" t="s">
        <v>2634</v>
      </c>
      <c r="K247" s="2" t="s">
        <v>2635</v>
      </c>
      <c r="L247" s="2" t="s">
        <v>2636</v>
      </c>
      <c r="M247" s="3">
        <v>2843925.8</v>
      </c>
      <c r="N247" s="15">
        <v>45344</v>
      </c>
      <c r="O247" s="1">
        <v>1074</v>
      </c>
      <c r="P247" s="1" t="s">
        <v>2637</v>
      </c>
      <c r="Q247" s="1" t="s">
        <v>35</v>
      </c>
      <c r="R247" s="1" t="s">
        <v>224</v>
      </c>
      <c r="S247" s="1" t="s">
        <v>2638</v>
      </c>
      <c r="U247" s="1" t="s">
        <v>2639</v>
      </c>
      <c r="W247" s="1" t="s">
        <v>39</v>
      </c>
    </row>
    <row r="248" spans="1:23" ht="24.95" customHeight="1" x14ac:dyDescent="0.25">
      <c r="A248" s="9">
        <f>SUBTOTAL(103,$F$1:F248)-1</f>
        <v>247</v>
      </c>
      <c r="B248" s="1" t="s">
        <v>2640</v>
      </c>
      <c r="C248" s="1" t="s">
        <v>2641</v>
      </c>
      <c r="E248" s="1" t="s">
        <v>2642</v>
      </c>
      <c r="F248" s="1" t="s">
        <v>2643</v>
      </c>
      <c r="G248" s="1" t="s">
        <v>2644</v>
      </c>
      <c r="H248" s="2" t="s">
        <v>2645</v>
      </c>
      <c r="I248" s="2" t="s">
        <v>2646</v>
      </c>
      <c r="J248" s="2" t="s">
        <v>2647</v>
      </c>
      <c r="K248" s="2" t="s">
        <v>2648</v>
      </c>
      <c r="L248" s="2" t="s">
        <v>2649</v>
      </c>
      <c r="M248" s="3">
        <v>1095665.29</v>
      </c>
      <c r="N248" s="15">
        <v>45344</v>
      </c>
      <c r="O248" s="1">
        <v>5</v>
      </c>
      <c r="P248" s="1" t="s">
        <v>2650</v>
      </c>
      <c r="Q248" s="1" t="s">
        <v>35</v>
      </c>
      <c r="R248" s="1" t="s">
        <v>2651</v>
      </c>
      <c r="S248" s="1" t="s">
        <v>2652</v>
      </c>
      <c r="U248" s="1" t="s">
        <v>2653</v>
      </c>
      <c r="W248" s="1" t="s">
        <v>39</v>
      </c>
    </row>
    <row r="249" spans="1:23" ht="24.95" customHeight="1" x14ac:dyDescent="0.25">
      <c r="A249" s="9">
        <f>SUBTOTAL(103,$F$1:F249)-1</f>
        <v>248</v>
      </c>
      <c r="C249" s="1" t="s">
        <v>2457</v>
      </c>
      <c r="E249" s="1" t="s">
        <v>2654</v>
      </c>
      <c r="F249" s="1" t="s">
        <v>2655</v>
      </c>
      <c r="G249" s="1" t="s">
        <v>1888</v>
      </c>
      <c r="H249" s="2" t="s">
        <v>1889</v>
      </c>
      <c r="I249" s="2" t="s">
        <v>2460</v>
      </c>
      <c r="J249" s="2" t="s">
        <v>2461</v>
      </c>
      <c r="K249" s="2" t="s">
        <v>2462</v>
      </c>
      <c r="L249" s="2" t="s">
        <v>2463</v>
      </c>
      <c r="M249" s="3">
        <v>504723.4</v>
      </c>
      <c r="N249" s="15">
        <v>45344</v>
      </c>
      <c r="O249" s="1">
        <v>24</v>
      </c>
      <c r="P249" s="1" t="s">
        <v>2464</v>
      </c>
      <c r="Q249" s="1" t="s">
        <v>35</v>
      </c>
      <c r="R249" s="1" t="s">
        <v>2465</v>
      </c>
      <c r="S249" s="1" t="s">
        <v>1896</v>
      </c>
      <c r="U249" s="1" t="s">
        <v>2466</v>
      </c>
      <c r="W249" s="1" t="s">
        <v>270</v>
      </c>
    </row>
    <row r="250" spans="1:23" ht="24.95" customHeight="1" x14ac:dyDescent="0.25">
      <c r="A250" s="9">
        <f>SUBTOTAL(103,$F$1:F250)-1</f>
        <v>249</v>
      </c>
      <c r="B250" s="1" t="s">
        <v>2656</v>
      </c>
      <c r="E250" s="1" t="s">
        <v>2657</v>
      </c>
      <c r="F250" s="1" t="s">
        <v>2658</v>
      </c>
      <c r="G250" s="1" t="s">
        <v>2659</v>
      </c>
      <c r="H250" s="2" t="s">
        <v>2660</v>
      </c>
      <c r="I250" s="2" t="s">
        <v>2661</v>
      </c>
      <c r="J250" s="2" t="s">
        <v>2662</v>
      </c>
      <c r="K250" s="2" t="s">
        <v>2663</v>
      </c>
      <c r="M250" s="3">
        <v>3916087.05</v>
      </c>
      <c r="N250" s="15">
        <v>45344</v>
      </c>
      <c r="O250" s="1">
        <v>1</v>
      </c>
      <c r="P250" s="1" t="s">
        <v>2664</v>
      </c>
      <c r="Q250" s="1" t="s">
        <v>35</v>
      </c>
      <c r="R250" s="1" t="s">
        <v>2665</v>
      </c>
      <c r="S250" s="1" t="s">
        <v>2666</v>
      </c>
      <c r="U250" s="1" t="s">
        <v>2667</v>
      </c>
      <c r="W250" s="1" t="s">
        <v>39</v>
      </c>
    </row>
    <row r="251" spans="1:23" ht="24.95" customHeight="1" x14ac:dyDescent="0.25">
      <c r="A251" s="9">
        <f>SUBTOTAL(103,$F$1:F251)-1</f>
        <v>250</v>
      </c>
      <c r="B251" s="1" t="s">
        <v>2668</v>
      </c>
      <c r="C251" s="1" t="s">
        <v>2669</v>
      </c>
      <c r="E251" s="1" t="s">
        <v>2670</v>
      </c>
      <c r="F251" s="1" t="s">
        <v>2671</v>
      </c>
      <c r="G251" s="1" t="s">
        <v>2672</v>
      </c>
      <c r="H251" s="2" t="s">
        <v>2673</v>
      </c>
      <c r="I251" s="2" t="s">
        <v>2674</v>
      </c>
      <c r="J251" s="2" t="s">
        <v>2675</v>
      </c>
      <c r="K251" s="2" t="s">
        <v>2676</v>
      </c>
      <c r="L251" s="2" t="s">
        <v>2677</v>
      </c>
      <c r="M251" s="3">
        <v>8302839</v>
      </c>
      <c r="N251" s="15">
        <v>45344</v>
      </c>
      <c r="O251" s="1">
        <v>20</v>
      </c>
      <c r="P251" s="1" t="s">
        <v>2678</v>
      </c>
      <c r="Q251" s="1" t="s">
        <v>35</v>
      </c>
      <c r="R251" s="1" t="s">
        <v>2679</v>
      </c>
      <c r="S251" s="1" t="s">
        <v>2680</v>
      </c>
      <c r="U251" s="1" t="s">
        <v>2681</v>
      </c>
      <c r="W251" s="1" t="s">
        <v>39</v>
      </c>
    </row>
  </sheetData>
  <autoFilter ref="A1:W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Views>
    <sheetView workbookViewId="0">
      <selection activeCell="B13" sqref="B13"/>
    </sheetView>
  </sheetViews>
  <sheetFormatPr defaultRowHeight="15" x14ac:dyDescent="0.25"/>
  <cols>
    <col min="1" max="1" width="16.28515625" style="14" customWidth="1"/>
    <col min="2" max="2" width="15.42578125" style="14" customWidth="1"/>
    <col min="3" max="3" width="16.7109375" style="14" bestFit="1" customWidth="1"/>
    <col min="4" max="4" width="19.5703125" style="14" bestFit="1" customWidth="1"/>
    <col min="5" max="5" width="24.7109375" style="14" bestFit="1" customWidth="1"/>
    <col min="6" max="6" width="13.7109375" style="14" bestFit="1" customWidth="1"/>
    <col min="7" max="7" width="15.5703125" style="14" bestFit="1" customWidth="1"/>
    <col min="8" max="8" width="21.5703125" style="14" bestFit="1" customWidth="1"/>
  </cols>
  <sheetData>
    <row r="1" spans="1:8" ht="30" x14ac:dyDescent="0.25">
      <c r="A1" s="10" t="s">
        <v>0</v>
      </c>
      <c r="B1" s="10" t="s">
        <v>5</v>
      </c>
      <c r="C1" s="10" t="s">
        <v>15</v>
      </c>
      <c r="D1" s="10" t="s">
        <v>18</v>
      </c>
      <c r="E1" s="10" t="s">
        <v>23</v>
      </c>
      <c r="F1" s="10" t="s">
        <v>1</v>
      </c>
      <c r="G1" s="10" t="s">
        <v>10</v>
      </c>
      <c r="H1" s="10" t="s">
        <v>7</v>
      </c>
    </row>
    <row r="2" spans="1:8" x14ac:dyDescent="0.25">
      <c r="A2" s="11" t="str">
        <f>IF(COUNTIF(Дела!$A:$A,ROW()-1)&gt;0,VLOOKUP(ROW()-1,Дела!$A:$C,3,0),"")</f>
        <v>+7 (910) 131-18-94_x000D_
+7 (910) 143-33-00</v>
      </c>
      <c r="B2" s="11" t="str">
        <f>IF(COUNTIF(Дела!$A:$A,ROW()-1)&gt;0,VLOOKUP(ROW()-1,Дела!$A:$F,6,0),"")</f>
        <v>А40-34987/2024</v>
      </c>
      <c r="C2" s="11" t="str">
        <f>IF(COUNTIF(Дела!$A:$A,ROW()-1)&gt;0,VLOOKUP(ROW()-1,Дела!$A:$G,7,0),"")</f>
        <v>ООО "Комплексная Безопасность"</v>
      </c>
      <c r="D2" s="11" t="str">
        <f>IF(COUNTIF(Дела!$A:$A,ROW()-1)&gt;0,VLOOKUP(ROW()-1,Дела!$A:$I,9,0),"")</f>
        <v>ООО "Артал Строй"</v>
      </c>
      <c r="E2" s="11" t="str">
        <f>IF(H2="","",MID(H2,SEARCH(" ",H2)+1,1000))</f>
        <v>Артем Игоревич</v>
      </c>
      <c r="F2" s="12">
        <f>IF(COUNTIF(Дела!$A:$A,ROW()-1)&gt;0,VLOOKUP(ROW()-1,Дела!$A:$M,13,0),"")</f>
        <v>4489799</v>
      </c>
      <c r="G2" s="13">
        <f>IF(COUNTIF(Дела!$A:$A,ROW()-1)&gt;0,VLOOKUP(ROW()-1,Дела!$A:$N,14,0),"")</f>
        <v>45342</v>
      </c>
      <c r="H2" s="11" t="str">
        <f>IF(COUNTIF(Дела!$A:$A,ROW()-1)&gt;0,VLOOKUP(ROW()-1,Дела!$A:$K,11,0),"")</f>
        <v>Родионов Артем Игоревич</v>
      </c>
    </row>
    <row r="3" spans="1:8" x14ac:dyDescent="0.25">
      <c r="A3" s="11">
        <f>IF(COUNTIF(Дела!$A:$A,ROW()-1)&gt;0,VLOOKUP(ROW()-1,Дела!$A:$C,3,0),"")</f>
        <v>0</v>
      </c>
      <c r="B3" s="11" t="str">
        <f>IF(COUNTIF(Дела!$A:$A,ROW()-1)&gt;0,VLOOKUP(ROW()-1,Дела!$A:$F,6,0),"")</f>
        <v>А40-34970/2024</v>
      </c>
      <c r="C3" s="11" t="str">
        <f>IF(COUNTIF(Дела!$A:$A,ROW()-1)&gt;0,VLOOKUP(ROW()-1,Дела!$A:$G,7,0),"")</f>
        <v>ИФНС России № 10 по Г. Москве</v>
      </c>
      <c r="D3" s="11" t="str">
        <f>IF(COUNTIF(Дела!$A:$A,ROW()-1)&gt;0,VLOOKUP(ROW()-1,Дела!$A:$I,9,0),"")</f>
        <v>ООО "Фортуна"</v>
      </c>
      <c r="E3" s="11" t="str">
        <f t="shared" ref="E3:E66" si="0">IF(H3="","",MID(H3,SEARCH(" ",H3)+1,1000))</f>
        <v>Олча Май Оглу</v>
      </c>
      <c r="F3" s="12">
        <f>IF(COUNTIF(Дела!$A:$A,ROW()-1)&gt;0,VLOOKUP(ROW()-1,Дела!$A:$M,13,0),"")</f>
        <v>3174989.91</v>
      </c>
      <c r="G3" s="13">
        <f>IF(COUNTIF(Дела!$A:$A,ROW()-1)&gt;0,VLOOKUP(ROW()-1,Дела!$A:$N,14,0),"")</f>
        <v>45342</v>
      </c>
      <c r="H3" s="11" t="str">
        <f>IF(COUNTIF(Дела!$A:$A,ROW()-1)&gt;0,VLOOKUP(ROW()-1,Дела!$A:$K,11,0),"")</f>
        <v>Ооржак Олча Май Оглу</v>
      </c>
    </row>
    <row r="4" spans="1:8" x14ac:dyDescent="0.25">
      <c r="A4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4" s="11" t="str">
        <f>IF(COUNTIF(Дела!$A:$A,ROW()-1)&gt;0,VLOOKUP(ROW()-1,Дела!$A:$F,6,0),"")</f>
        <v>А40-34838/2024</v>
      </c>
      <c r="C4" s="11" t="str">
        <f>IF(COUNTIF(Дела!$A:$A,ROW()-1)&gt;0,VLOOKUP(ROW()-1,Дела!$A:$G,7,0),"")</f>
        <v>АО "Нефтетранссервис"</v>
      </c>
      <c r="D4" s="11" t="str">
        <f>IF(COUNTIF(Дела!$A:$A,ROW()-1)&gt;0,VLOOKUP(ROW()-1,Дела!$A:$I,9,0),"")</f>
        <v>ОАО "РЖД"</v>
      </c>
      <c r="E4" s="11" t="str">
        <f t="shared" si="0"/>
        <v>Олег Валентинович</v>
      </c>
      <c r="F4" s="12">
        <f>IF(COUNTIF(Дела!$A:$A,ROW()-1)&gt;0,VLOOKUP(ROW()-1,Дела!$A:$M,13,0),"")</f>
        <v>1118159.01</v>
      </c>
      <c r="G4" s="13">
        <f>IF(COUNTIF(Дела!$A:$A,ROW()-1)&gt;0,VLOOKUP(ROW()-1,Дела!$A:$N,14,0),"")</f>
        <v>45342</v>
      </c>
      <c r="H4" s="11" t="str">
        <f>IF(COUNTIF(Дела!$A:$A,ROW()-1)&gt;0,VLOOKUP(ROW()-1,Дела!$A:$K,11,0),"")</f>
        <v>Белозёров Олег Валентинович</v>
      </c>
    </row>
    <row r="5" spans="1:8" x14ac:dyDescent="0.25">
      <c r="A5" s="11" t="str">
        <f>IF(COUNTIF(Дела!$A:$A,ROW()-1)&gt;0,VLOOKUP(ROW()-1,Дела!$A:$C,3,0),"")</f>
        <v>+7 (916) 428-25-05</v>
      </c>
      <c r="B5" s="11" t="str">
        <f>IF(COUNTIF(Дела!$A:$A,ROW()-1)&gt;0,VLOOKUP(ROW()-1,Дела!$A:$F,6,0),"")</f>
        <v>А40-34726/2024</v>
      </c>
      <c r="C5" s="11" t="str">
        <f>IF(COUNTIF(Дела!$A:$A,ROW()-1)&gt;0,VLOOKUP(ROW()-1,Дела!$A:$G,7,0),"")</f>
        <v>ООО "Акрополь Инжиниринг"</v>
      </c>
      <c r="D5" s="11" t="str">
        <f>IF(COUNTIF(Дела!$A:$A,ROW()-1)&gt;0,VLOOKUP(ROW()-1,Дела!$A:$I,9,0),"")</f>
        <v>ООО "НЖС"</v>
      </c>
      <c r="E5" s="11" t="str">
        <f t="shared" si="0"/>
        <v>Константин Юрьевич</v>
      </c>
      <c r="F5" s="12">
        <f>IF(COUNTIF(Дела!$A:$A,ROW()-1)&gt;0,VLOOKUP(ROW()-1,Дела!$A:$M,13,0),"")</f>
        <v>4306490.6500000004</v>
      </c>
      <c r="G5" s="13">
        <f>IF(COUNTIF(Дела!$A:$A,ROW()-1)&gt;0,VLOOKUP(ROW()-1,Дела!$A:$N,14,0),"")</f>
        <v>45342</v>
      </c>
      <c r="H5" s="11" t="str">
        <f>IF(COUNTIF(Дела!$A:$A,ROW()-1)&gt;0,VLOOKUP(ROW()-1,Дела!$A:$K,11,0),"")</f>
        <v>Шевацуков Константин Юрьевич</v>
      </c>
    </row>
    <row r="6" spans="1:8" x14ac:dyDescent="0.25">
      <c r="A6" s="11">
        <f>IF(COUNTIF(Дела!$A:$A,ROW()-1)&gt;0,VLOOKUP(ROW()-1,Дела!$A:$C,3,0),"")</f>
        <v>0</v>
      </c>
      <c r="B6" s="11" t="str">
        <f>IF(COUNTIF(Дела!$A:$A,ROW()-1)&gt;0,VLOOKUP(ROW()-1,Дела!$A:$F,6,0),"")</f>
        <v>А40-34801/2024</v>
      </c>
      <c r="C6" s="11" t="str">
        <f>IF(COUNTIF(Дела!$A:$A,ROW()-1)&gt;0,VLOOKUP(ROW()-1,Дела!$A:$G,7,0),"")</f>
        <v>ООО "Екс-Групп"</v>
      </c>
      <c r="D6" s="11" t="str">
        <f>IF(COUNTIF(Дела!$A:$A,ROW()-1)&gt;0,VLOOKUP(ROW()-1,Дела!$A:$I,9,0),"")</f>
        <v>ИП Гасангусейнов Вазир Султанович</v>
      </c>
      <c r="E6" s="11" t="str">
        <f t="shared" si="0"/>
        <v>Вазир Султанович</v>
      </c>
      <c r="F6" s="12">
        <f>IF(COUNTIF(Дела!$A:$A,ROW()-1)&gt;0,VLOOKUP(ROW()-1,Дела!$A:$M,13,0),"")</f>
        <v>611481</v>
      </c>
      <c r="G6" s="13">
        <f>IF(COUNTIF(Дела!$A:$A,ROW()-1)&gt;0,VLOOKUP(ROW()-1,Дела!$A:$N,14,0),"")</f>
        <v>45342</v>
      </c>
      <c r="H6" s="11" t="str">
        <f>IF(COUNTIF(Дела!$A:$A,ROW()-1)&gt;0,VLOOKUP(ROW()-1,Дела!$A:$K,11,0),"")</f>
        <v>Гасангусейнов Вазир Султанович</v>
      </c>
    </row>
    <row r="7" spans="1:8" x14ac:dyDescent="0.25">
      <c r="A7" s="11" t="str">
        <f>IF(COUNTIF(Дела!$A:$A,ROW()-1)&gt;0,VLOOKUP(ROW()-1,Дела!$A:$C,3,0),"")</f>
        <v>+7 (495) 120-28-80</v>
      </c>
      <c r="B7" s="11" t="str">
        <f>IF(COUNTIF(Дела!$A:$A,ROW()-1)&gt;0,VLOOKUP(ROW()-1,Дела!$A:$F,6,0),"")</f>
        <v>А40-34707/2024</v>
      </c>
      <c r="C7" s="11" t="str">
        <f>IF(COUNTIF(Дела!$A:$A,ROW()-1)&gt;0,VLOOKUP(ROW()-1,Дела!$A:$G,7,0),"")</f>
        <v>Департамент городского Имущества Города Москвы</v>
      </c>
      <c r="D7" s="11" t="str">
        <f>IF(COUNTIF(Дела!$A:$A,ROW()-1)&gt;0,VLOOKUP(ROW()-1,Дела!$A:$I,9,0),"")</f>
        <v>ООО "Горячий Ключ"</v>
      </c>
      <c r="E7" s="11" t="str">
        <f t="shared" si="0"/>
        <v>Алигулу Ильгар Оглы</v>
      </c>
      <c r="F7" s="12">
        <f>IF(COUNTIF(Дела!$A:$A,ROW()-1)&gt;0,VLOOKUP(ROW()-1,Дела!$A:$M,13,0),"")</f>
        <v>663120.56000000006</v>
      </c>
      <c r="G7" s="13">
        <f>IF(COUNTIF(Дела!$A:$A,ROW()-1)&gt;0,VLOOKUP(ROW()-1,Дела!$A:$N,14,0),"")</f>
        <v>45342</v>
      </c>
      <c r="H7" s="11" t="str">
        <f>IF(COUNTIF(Дела!$A:$A,ROW()-1)&gt;0,VLOOKUP(ROW()-1,Дела!$A:$K,11,0),"")</f>
        <v>Асгарли Алигулу Ильгар Оглы</v>
      </c>
    </row>
    <row r="8" spans="1:8" x14ac:dyDescent="0.25">
      <c r="A8" s="11" t="str">
        <f>IF(COUNTIF(Дела!$A:$A,ROW()-1)&gt;0,VLOOKUP(ROW()-1,Дела!$A:$C,3,0),"")</f>
        <v>+7 (499) 260-40-00_x000D_
+7 (4832) 60-55-48_x000D_
+7 (4832) 63-02-26_x000D_
+7 (4832) 60-22-22_x000D_
+7 (3955) 75-57-30_x000D_
+7 (3955) 75-57-33_x000D_
+7 (3955) 76-14-06_x000D_
+7 (499) 262-28-46_x000D_
+7 (950) 089-92-94_x000D_
+7 (3012) 28-21-71_x000D_
+7 (499) 260-40-50_x000D_
+7 (812) 436-61-53_x000D_
+7 (81837) 6-26-43_x000D_
+7 (84663) 2-19-75_x000D_
+7 (863) 259-08-48_x000D_
+7 (914) 176-98-95_x000D_
+7 (3955) 75-57-36_x000D_
+7 (950) 075-17-94_x000D_
+7 (812) 436-61-44_x000D_
+7 (383) 337-94-01_x000D_
+7 (3519) 44-72-22_x000D_
+7 (499) 260-71-22_x000D_
+7 (3012) 28-22-22_x000D_
+7 (3012) 28-22-58_x000D_
+7 (34256) 9-22-22_x000D_
+7 (343) 310-90-69_x000D_
+7 (343) 310-91-65_x000D_
+7 (34551) 5-22-22_x000D_
+7 (34551) 5-26-87_x000D_
+7 (3812) 44-20-61_x000D_
+7 (3812) 44-21-65_x000D_
+7 (3812) 44-99-33_x000D_
+7 (383) 229-92-87_x000D_
+7 (38448) 2-24-39_x000D_
+7 (38456) 7-37-64_x000D_
+7 (39563) 5-32-20_x000D_
+7 (39563) 5-38-40_x000D_
+7 (4212) 38-82-58_x000D_
+7 (4234) 25-30-35_x000D_
+7 (4234) 38-15-35_x000D_
+7 (42355) 4-24-21_x000D_
+7 (4725) 41-17-52_x000D_
+7 (47376) 2-27-34_x000D_
+7 (491) 375-16-26_x000D_
+7 (49644) 2-47-55_x000D_
+7 (49644) 2-55-55_x000D_
+7 (499) 623-51-40_x000D_
+7 (499) 623-51-62_x000D_
+7 (8112) 70-71-11_x000D_
+7 (8112) 70-79-08_x000D_
+7 (81361) 2-01-06_x000D_
+7 (81361) 2-80-04_x000D_
+7 (8142) 79-36-04_x000D_
+7 (8142) 79-36-75_x000D_
+7 (81533) 3-36-04_x000D_
+7 (81533) 4-33-02_x000D_
+7 (8172) 79-69-61_x000D_
+7 (81837) 6-22-22_x000D_
+7 (831) 248-52-22_x000D_
+7 (833) 260-52-22_x000D_
+7 (833) 260-61-00_x000D_
+7 (8412) 58-72-22_x000D_
+7 (8412) 58-72-64_x000D_
+7 (8452) 41-38-69_x000D_
+7 (8452) 41-75-09_x000D_
+7 (846) 303-95-00_x000D_
+7 (846) 303-95-39_x000D_
+7 (8464) 33-32-80, доб 6_x000D_
+7 (8464) 33-38-40, доб 6_x000D_
+7 (84663) 2-19-74_x000D_
+7 (8512) 32-52-55_x000D_
+7 (8612) 14-79-14_x000D_
+7 (863) 259-08-50_x000D_
+7 (863) 259-48-91_x000D_
+7 (86354) 4-54-37_x000D_
+7 (911) 957-27-96_x000D_
+7 (915) 607-33-06_x000D_
+7 (918) 508-91-11_x000D_
+7 (960) 993-79-10_x000D_
+7 (984) 277-02-89_x000D_
+7 (499) 260-00-00_x000D_
+7 (3955) 77-26-10_x000D_
+7 (4832) 60-32-33, доб 7070_x000D_
+7 (4832) 60-39-49_x000D_
+7 (4832) 60-22-56_x000D_
+7 (499) 260-49-09_x000D_
+7 (499) 260-49-66_x000D_
+7 (86354) 4-23-61_x000D_
+7 (499) 262-66-66_x000D_
+7 (846) 303-95-02, доб 303_x000D_
+7 (950) 630-39-53, доб 9_x000D_
+7 (495) 260-40-00_x000D_
+7 (499) 262-00-58_x000D_
+7 (4212) 31-58-56_x000D_
+7 (39173) 9-31-97_x000D_
+7 (846) 303-95-02_x000D_
+7 (812) 457-53-88_x000D_
+7 (812) 436-20-36_x000D_
+7 (911) 848-78-23_x000D_
+7 (499) 260-40-68</v>
      </c>
      <c r="B8" s="11" t="str">
        <f>IF(COUNTIF(Дела!$A:$A,ROW()-1)&gt;0,VLOOKUP(ROW()-1,Дела!$A:$F,6,0),"")</f>
        <v>А40-34588/2024</v>
      </c>
      <c r="C8" s="11" t="str">
        <f>IF(COUNTIF(Дела!$A:$A,ROW()-1)&gt;0,VLOOKUP(ROW()-1,Дела!$A:$G,7,0),"")</f>
        <v>АО "Уголь-Транс"</v>
      </c>
      <c r="D8" s="11" t="str">
        <f>IF(COUNTIF(Дела!$A:$A,ROW()-1)&gt;0,VLOOKUP(ROW()-1,Дела!$A:$I,9,0),"")</f>
        <v>АО "ВРК-1"</v>
      </c>
      <c r="E8" s="11" t="str">
        <f t="shared" si="0"/>
        <v>Владимир Николаевич</v>
      </c>
      <c r="F8" s="12">
        <f>IF(COUNTIF(Дела!$A:$A,ROW()-1)&gt;0,VLOOKUP(ROW()-1,Дела!$A:$M,13,0),"")</f>
        <v>744855.11</v>
      </c>
      <c r="G8" s="13">
        <f>IF(COUNTIF(Дела!$A:$A,ROW()-1)&gt;0,VLOOKUP(ROW()-1,Дела!$A:$N,14,0),"")</f>
        <v>45342</v>
      </c>
      <c r="H8" s="11" t="str">
        <f>IF(COUNTIF(Дела!$A:$A,ROW()-1)&gt;0,VLOOKUP(ROW()-1,Дела!$A:$K,11,0),"")</f>
        <v>Белюгин Владимир Николаевич</v>
      </c>
    </row>
    <row r="9" spans="1:8" x14ac:dyDescent="0.25">
      <c r="A9" s="11">
        <f>IF(COUNTIF(Дела!$A:$A,ROW()-1)&gt;0,VLOOKUP(ROW()-1,Дела!$A:$C,3,0),"")</f>
        <v>0</v>
      </c>
      <c r="B9" s="11" t="str">
        <f>IF(COUNTIF(Дела!$A:$A,ROW()-1)&gt;0,VLOOKUP(ROW()-1,Дела!$A:$F,6,0),"")</f>
        <v>А40-34679/2024</v>
      </c>
      <c r="C9" s="11" t="str">
        <f>IF(COUNTIF(Дела!$A:$A,ROW()-1)&gt;0,VLOOKUP(ROW()-1,Дела!$A:$G,7,0),"")</f>
        <v>Ассоциация СРО "Центррегион"</v>
      </c>
      <c r="D9" s="11" t="str">
        <f>IF(COUNTIF(Дела!$A:$A,ROW()-1)&gt;0,VLOOKUP(ROW()-1,Дела!$A:$I,9,0),"")</f>
        <v>ООО "Бизнес-Капитал"</v>
      </c>
      <c r="E9" s="11" t="str">
        <f t="shared" si="0"/>
        <v>Дмитрий Александрович</v>
      </c>
      <c r="F9" s="12">
        <f>IF(COUNTIF(Дела!$A:$A,ROW()-1)&gt;0,VLOOKUP(ROW()-1,Дела!$A:$M,13,0),"")</f>
        <v>506700</v>
      </c>
      <c r="G9" s="13">
        <f>IF(COUNTIF(Дела!$A:$A,ROW()-1)&gt;0,VLOOKUP(ROW()-1,Дела!$A:$N,14,0),"")</f>
        <v>45342</v>
      </c>
      <c r="H9" s="11" t="str">
        <f>IF(COUNTIF(Дела!$A:$A,ROW()-1)&gt;0,VLOOKUP(ROW()-1,Дела!$A:$K,11,0),"")</f>
        <v>Холоднюк Дмитрий Александрович</v>
      </c>
    </row>
    <row r="10" spans="1:8" x14ac:dyDescent="0.25">
      <c r="A10" s="11" t="str">
        <f>IF(COUNTIF(Дела!$A:$A,ROW()-1)&gt;0,VLOOKUP(ROW()-1,Дела!$A:$C,3,0),"")</f>
        <v>+7 (495) 699-72-50_x000D_
+7 (495) 959-18-02_x000D_
+7 (495) 331-02-22_x000D_
+7 (495) 587-70-87_x000D_
+7 (495) 625-45-13_x000D_
+7 (495) 634-01-27_x000D_
+7 (495) 675-46-24_x000D_
+7 (495) 953-21-56_x000D_
+7 (495) 957-75-00_x000D_
+7 (495) 959-09-75_x000D_
+7 (495) 959-19-03_x000D_
+7 (495) 959-19-13_x000D_
+7 (495) 959-19-59_x000D_
+7 (495) 959-53-39_x000D_
+7 (499) 268-56-70_x000D_
+7 (499) 380-80-84_x000D_
+7 (495) 625-45-15_x000D_
+7 (495) 777-77-77_x000D_
+7 (495) 699-20-48_x000D_
+7 (495) 362-14-63_x000D_
+7 (495) 959-19-82_x000D_
+7 (495) 957-98-53_x000D_
+7 (499) 648-05-64_x000D_
+7 (495) 959-18-88_x000D_
+7 (499) 233-97-39_x000D_
+7 (495) 959-19-55_x000D_
+7 (495) 955-53-08_x000D_
+7 (495) 122-19-27, доб 1302_x000D_
+7 (495) 955-53-79_x000D_
+7 (495) 955-51-96_x000D_
+7 (495) 955-53-68_x000D_
+7 (495) 142-12-32_x000D_
+7 (499) 649-39-23_x000D_
+7 (499) 959-18-02_x000D_
+7 (495) 959-18-22_x000D_
+7 (495) 777-77-77, доб 7_x000D_
+7 (499) 000-00-00_x000D_
+7 (495) 957-99-77</v>
      </c>
      <c r="B10" s="11" t="str">
        <f>IF(COUNTIF(Дела!$A:$A,ROW()-1)&gt;0,VLOOKUP(ROW()-1,Дела!$A:$F,6,0),"")</f>
        <v>А40-34515/2024</v>
      </c>
      <c r="C10" s="11" t="str">
        <f>IF(COUNTIF(Дела!$A:$A,ROW()-1)&gt;0,VLOOKUP(ROW()-1,Дела!$A:$G,7,0),"")</f>
        <v>АО "Специализированный Застройщик ТПУ "Рассказовка"</v>
      </c>
      <c r="D10" s="11" t="str">
        <f>IF(COUNTIF(Дела!$A:$A,ROW()-1)&gt;0,VLOOKUP(ROW()-1,Дела!$A:$I,9,0),"")</f>
        <v>Департамент городского Имущества Города Москвы</v>
      </c>
      <c r="E10" s="11" t="str">
        <f t="shared" si="0"/>
        <v>Максим Федорович</v>
      </c>
      <c r="F10" s="12">
        <f>IF(COUNTIF(Дела!$A:$A,ROW()-1)&gt;0,VLOOKUP(ROW()-1,Дела!$A:$M,13,0),"")</f>
        <v>330346000</v>
      </c>
      <c r="G10" s="13">
        <f>IF(COUNTIF(Дела!$A:$A,ROW()-1)&gt;0,VLOOKUP(ROW()-1,Дела!$A:$N,14,0),"")</f>
        <v>45342</v>
      </c>
      <c r="H10" s="11" t="str">
        <f>IF(COUNTIF(Дела!$A:$A,ROW()-1)&gt;0,VLOOKUP(ROW()-1,Дела!$A:$K,11,0),"")</f>
        <v>Гаман Максим Федорович</v>
      </c>
    </row>
    <row r="11" spans="1:8" x14ac:dyDescent="0.25">
      <c r="A11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1" s="11" t="str">
        <f>IF(COUNTIF(Дела!$A:$A,ROW()-1)&gt;0,VLOOKUP(ROW()-1,Дела!$A:$F,6,0),"")</f>
        <v>А40-34376/2024</v>
      </c>
      <c r="C11" s="11" t="str">
        <f>IF(COUNTIF(Дела!$A:$A,ROW()-1)&gt;0,VLOOKUP(ROW()-1,Дела!$A:$G,7,0),"")</f>
        <v>ООО "Сапфир-Агро"</v>
      </c>
      <c r="D11" s="11" t="str">
        <f>IF(COUNTIF(Дела!$A:$A,ROW()-1)&gt;0,VLOOKUP(ROW()-1,Дела!$A:$I,9,0),"")</f>
        <v>ОАО "РЖД"</v>
      </c>
      <c r="E11" s="11" t="str">
        <f t="shared" si="0"/>
        <v>Олег Валентинович</v>
      </c>
      <c r="F11" s="12">
        <f>IF(COUNTIF(Дела!$A:$A,ROW()-1)&gt;0,VLOOKUP(ROW()-1,Дела!$A:$M,13,0),"")</f>
        <v>731393</v>
      </c>
      <c r="G11" s="13">
        <f>IF(COUNTIF(Дела!$A:$A,ROW()-1)&gt;0,VLOOKUP(ROW()-1,Дела!$A:$N,14,0),"")</f>
        <v>45342</v>
      </c>
      <c r="H11" s="11" t="str">
        <f>IF(COUNTIF(Дела!$A:$A,ROW()-1)&gt;0,VLOOKUP(ROW()-1,Дела!$A:$K,11,0),"")</f>
        <v>Белозёров Олег Валентинович</v>
      </c>
    </row>
    <row r="12" spans="1:8" x14ac:dyDescent="0.25">
      <c r="A12" s="11">
        <f>IF(COUNTIF(Дела!$A:$A,ROW()-1)&gt;0,VLOOKUP(ROW()-1,Дела!$A:$C,3,0),"")</f>
        <v>0</v>
      </c>
      <c r="B12" s="11" t="str">
        <f>IF(COUNTIF(Дела!$A:$A,ROW()-1)&gt;0,VLOOKUP(ROW()-1,Дела!$A:$F,6,0),"")</f>
        <v>А40-34438/2024</v>
      </c>
      <c r="C12" s="11" t="str">
        <f>IF(COUNTIF(Дела!$A:$A,ROW()-1)&gt;0,VLOOKUP(ROW()-1,Дела!$A:$G,7,0),"")</f>
        <v>АО "Трест КХМ"</v>
      </c>
      <c r="D12" s="11" t="str">
        <f>IF(COUNTIF(Дела!$A:$A,ROW()-1)&gt;0,VLOOKUP(ROW()-1,Дела!$A:$I,9,0),"")</f>
        <v>ООО "Аэрогаз"</v>
      </c>
      <c r="E12" s="11" t="str">
        <f t="shared" si="0"/>
        <v>Салават Зайнетдинович</v>
      </c>
      <c r="F12" s="12">
        <f>IF(COUNTIF(Дела!$A:$A,ROW()-1)&gt;0,VLOOKUP(ROW()-1,Дела!$A:$M,13,0),"")</f>
        <v>3706461.5</v>
      </c>
      <c r="G12" s="13">
        <f>IF(COUNTIF(Дела!$A:$A,ROW()-1)&gt;0,VLOOKUP(ROW()-1,Дела!$A:$N,14,0),"")</f>
        <v>45342</v>
      </c>
      <c r="H12" s="11" t="str">
        <f>IF(COUNTIF(Дела!$A:$A,ROW()-1)&gt;0,VLOOKUP(ROW()-1,Дела!$A:$K,11,0),"")</f>
        <v>Имаев Салават Зайнетдинович</v>
      </c>
    </row>
    <row r="13" spans="1:8" x14ac:dyDescent="0.25">
      <c r="A13" s="11" t="str">
        <f>IF(COUNTIF(Дела!$A:$A,ROW()-1)&gt;0,VLOOKUP(ROW()-1,Дела!$A:$C,3,0),"")</f>
        <v>+7 (49679) 6-13-80_x000D_
+7 (49679) 6-13-79</v>
      </c>
      <c r="B13" s="11" t="str">
        <f>IF(COUNTIF(Дела!$A:$A,ROW()-1)&gt;0,VLOOKUP(ROW()-1,Дела!$A:$F,6,0),"")</f>
        <v>А40-34333/2024</v>
      </c>
      <c r="C13" s="11" t="str">
        <f>IF(COUNTIF(Дела!$A:$A,ROW()-1)&gt;0,VLOOKUP(ROW()-1,Дела!$A:$G,7,0),"")</f>
        <v>АО "Мосэнергосбыт"</v>
      </c>
      <c r="D13" s="11" t="str">
        <f>IF(COUNTIF(Дела!$A:$A,ROW()-1)&gt;0,VLOOKUP(ROW()-1,Дела!$A:$I,9,0),"")</f>
        <v>ОАО "Заря-Жилсервис"</v>
      </c>
      <c r="E13" s="11" t="str">
        <f t="shared" si="0"/>
        <v>Александр Борисович</v>
      </c>
      <c r="F13" s="12">
        <f>IF(COUNTIF(Дела!$A:$A,ROW()-1)&gt;0,VLOOKUP(ROW()-1,Дела!$A:$M,13,0),"")</f>
        <v>1360795.45</v>
      </c>
      <c r="G13" s="13">
        <f>IF(COUNTIF(Дела!$A:$A,ROW()-1)&gt;0,VLOOKUP(ROW()-1,Дела!$A:$N,14,0),"")</f>
        <v>45342</v>
      </c>
      <c r="H13" s="11" t="str">
        <f>IF(COUNTIF(Дела!$A:$A,ROW()-1)&gt;0,VLOOKUP(ROW()-1,Дела!$A:$K,11,0),"")</f>
        <v>Руднев Александр Борисович</v>
      </c>
    </row>
    <row r="14" spans="1:8" x14ac:dyDescent="0.25">
      <c r="A14" s="11">
        <f>IF(COUNTIF(Дела!$A:$A,ROW()-1)&gt;0,VLOOKUP(ROW()-1,Дела!$A:$C,3,0),"")</f>
        <v>0</v>
      </c>
      <c r="B14" s="11" t="str">
        <f>IF(COUNTIF(Дела!$A:$A,ROW()-1)&gt;0,VLOOKUP(ROW()-1,Дела!$A:$F,6,0),"")</f>
        <v>А40-34362/2024</v>
      </c>
      <c r="C14" s="11" t="str">
        <f>IF(COUNTIF(Дела!$A:$A,ROW()-1)&gt;0,VLOOKUP(ROW()-1,Дела!$A:$G,7,0),"")</f>
        <v>ООО "Отель "Рига Ленд"</v>
      </c>
      <c r="D14" s="11" t="str">
        <f>IF(COUNTIF(Дела!$A:$A,ROW()-1)&gt;0,VLOOKUP(ROW()-1,Дела!$A:$I,9,0),"")</f>
        <v>ООО "Фуд Сервис Восток"</v>
      </c>
      <c r="E14" s="11" t="str">
        <f t="shared" si="0"/>
        <v>Артем Владимирович</v>
      </c>
      <c r="F14" s="12">
        <f>IF(COUNTIF(Дела!$A:$A,ROW()-1)&gt;0,VLOOKUP(ROW()-1,Дела!$A:$M,13,0),"")</f>
        <v>620607.5</v>
      </c>
      <c r="G14" s="13">
        <f>IF(COUNTIF(Дела!$A:$A,ROW()-1)&gt;0,VLOOKUP(ROW()-1,Дела!$A:$N,14,0),"")</f>
        <v>45342</v>
      </c>
      <c r="H14" s="11" t="str">
        <f>IF(COUNTIF(Дела!$A:$A,ROW()-1)&gt;0,VLOOKUP(ROW()-1,Дела!$A:$K,11,0),"")</f>
        <v>Росол Артем Владимирович</v>
      </c>
    </row>
    <row r="15" spans="1:8" x14ac:dyDescent="0.25">
      <c r="A15" s="11" t="str">
        <f>IF(COUNTIF(Дела!$A:$A,ROW()-1)&gt;0,VLOOKUP(ROW()-1,Дела!$A:$C,3,0),"")</f>
        <v>+7 (383) 213-08-73</v>
      </c>
      <c r="B15" s="11" t="str">
        <f>IF(COUNTIF(Дела!$A:$A,ROW()-1)&gt;0,VLOOKUP(ROW()-1,Дела!$A:$F,6,0),"")</f>
        <v>А40-34332/2024</v>
      </c>
      <c r="C15" s="11" t="str">
        <f>IF(COUNTIF(Дела!$A:$A,ROW()-1)&gt;0,VLOOKUP(ROW()-1,Дела!$A:$G,7,0),"")</f>
        <v>ООО "Яндекс.Такси"</v>
      </c>
      <c r="D15" s="11" t="str">
        <f>IF(COUNTIF(Дела!$A:$A,ROW()-1)&gt;0,VLOOKUP(ROW()-1,Дела!$A:$I,9,0),"")</f>
        <v>ООО "Стар"</v>
      </c>
      <c r="E15" s="11" t="str">
        <f t="shared" si="0"/>
        <v>Евгения Александровна</v>
      </c>
      <c r="F15" s="12">
        <f>IF(COUNTIF(Дела!$A:$A,ROW()-1)&gt;0,VLOOKUP(ROW()-1,Дела!$A:$M,13,0),"")</f>
        <v>778186.33</v>
      </c>
      <c r="G15" s="13">
        <f>IF(COUNTIF(Дела!$A:$A,ROW()-1)&gt;0,VLOOKUP(ROW()-1,Дела!$A:$N,14,0),"")</f>
        <v>45342</v>
      </c>
      <c r="H15" s="11" t="str">
        <f>IF(COUNTIF(Дела!$A:$A,ROW()-1)&gt;0,VLOOKUP(ROW()-1,Дела!$A:$K,11,0),"")</f>
        <v>Головкова Евгения Александровна</v>
      </c>
    </row>
    <row r="16" spans="1:8" x14ac:dyDescent="0.25">
      <c r="A16" s="11" t="str">
        <f>IF(COUNTIF(Дела!$A:$A,ROW()-1)&gt;0,VLOOKUP(ROW()-1,Дела!$A:$C,3,0),"")</f>
        <v>+7 (926) 584-55-56</v>
      </c>
      <c r="B16" s="11" t="str">
        <f>IF(COUNTIF(Дела!$A:$A,ROW()-1)&gt;0,VLOOKUP(ROW()-1,Дела!$A:$F,6,0),"")</f>
        <v>А40-34274/2024</v>
      </c>
      <c r="C16" s="11" t="str">
        <f>IF(COUNTIF(Дела!$A:$A,ROW()-1)&gt;0,VLOOKUP(ROW()-1,Дела!$A:$G,7,0),"")</f>
        <v>ООО "Интегрум"</v>
      </c>
      <c r="D16" s="11" t="str">
        <f>IF(COUNTIF(Дела!$A:$A,ROW()-1)&gt;0,VLOOKUP(ROW()-1,Дела!$A:$I,9,0),"")</f>
        <v>ООО "Инком СБ"</v>
      </c>
      <c r="E16" s="11" t="str">
        <f t="shared" si="0"/>
        <v>Иван Николаевич</v>
      </c>
      <c r="F16" s="12">
        <f>IF(COUNTIF(Дела!$A:$A,ROW()-1)&gt;0,VLOOKUP(ROW()-1,Дела!$A:$M,13,0),"")</f>
        <v>671100</v>
      </c>
      <c r="G16" s="13">
        <f>IF(COUNTIF(Дела!$A:$A,ROW()-1)&gt;0,VLOOKUP(ROW()-1,Дела!$A:$N,14,0),"")</f>
        <v>45342</v>
      </c>
      <c r="H16" s="11" t="str">
        <f>IF(COUNTIF(Дела!$A:$A,ROW()-1)&gt;0,VLOOKUP(ROW()-1,Дела!$A:$K,11,0),"")</f>
        <v>Кюрпя Иван Николаевич</v>
      </c>
    </row>
    <row r="17" spans="1:8" x14ac:dyDescent="0.25">
      <c r="A17" s="11">
        <f>IF(COUNTIF(Дела!$A:$A,ROW()-1)&gt;0,VLOOKUP(ROW()-1,Дела!$A:$C,3,0),"")</f>
        <v>0</v>
      </c>
      <c r="B17" s="11" t="str">
        <f>IF(COUNTIF(Дела!$A:$A,ROW()-1)&gt;0,VLOOKUP(ROW()-1,Дела!$A:$F,6,0),"")</f>
        <v>А40-34270/2024</v>
      </c>
      <c r="C17" s="11" t="str">
        <f>IF(COUNTIF(Дела!$A:$A,ROW()-1)&gt;0,VLOOKUP(ROW()-1,Дела!$A:$G,7,0),"")</f>
        <v>ООО "Стар Строй"</v>
      </c>
      <c r="D17" s="11" t="str">
        <f>IF(COUNTIF(Дела!$A:$A,ROW()-1)&gt;0,VLOOKUP(ROW()-1,Дела!$A:$I,9,0),"")</f>
        <v>ООО "Энергопроект"</v>
      </c>
      <c r="E17" s="11" t="str">
        <f t="shared" si="0"/>
        <v>Шалбуз Энверович</v>
      </c>
      <c r="F17" s="12">
        <f>IF(COUNTIF(Дела!$A:$A,ROW()-1)&gt;0,VLOOKUP(ROW()-1,Дела!$A:$M,13,0),"")</f>
        <v>3167055.13</v>
      </c>
      <c r="G17" s="13">
        <f>IF(COUNTIF(Дела!$A:$A,ROW()-1)&gt;0,VLOOKUP(ROW()-1,Дела!$A:$N,14,0),"")</f>
        <v>45342</v>
      </c>
      <c r="H17" s="11" t="str">
        <f>IF(COUNTIF(Дела!$A:$A,ROW()-1)&gt;0,VLOOKUP(ROW()-1,Дела!$A:$K,11,0),"")</f>
        <v>Меджидов Шалбуз Энверович</v>
      </c>
    </row>
    <row r="18" spans="1:8" x14ac:dyDescent="0.25">
      <c r="A18" s="11" t="str">
        <f>IF(COUNTIF(Дела!$A:$A,ROW()-1)&gt;0,VLOOKUP(ROW()-1,Дела!$A:$C,3,0),"")</f>
        <v>+7 (4876) 27-04-40_x000D_
+7 (4876) 27-06-08_x000D_
+7 (910) 702-40-80_x000D_
+7 (495) 369-02-36</v>
      </c>
      <c r="B18" s="11" t="str">
        <f>IF(COUNTIF(Дела!$A:$A,ROW()-1)&gt;0,VLOOKUP(ROW()-1,Дела!$A:$F,6,0),"")</f>
        <v>А40-33874/2024</v>
      </c>
      <c r="C18" s="11" t="str">
        <f>IF(COUNTIF(Дела!$A:$A,ROW()-1)&gt;0,VLOOKUP(ROW()-1,Дела!$A:$G,7,0),"")</f>
        <v>ООО "Союз Св. Иоанна Воина"</v>
      </c>
      <c r="D18" s="11" t="str">
        <f>IF(COUNTIF(Дела!$A:$A,ROW()-1)&gt;0,VLOOKUP(ROW()-1,Дела!$A:$I,9,0),"")</f>
        <v>ООО "Тульский Винокуренный Завод 1911"</v>
      </c>
      <c r="E18" s="11" t="str">
        <f t="shared" si="0"/>
        <v>Сергей Николаевич</v>
      </c>
      <c r="F18" s="12">
        <f>IF(COUNTIF(Дела!$A:$A,ROW()-1)&gt;0,VLOOKUP(ROW()-1,Дела!$A:$M,13,0),"")</f>
        <v>1907403.01</v>
      </c>
      <c r="G18" s="13">
        <f>IF(COUNTIF(Дела!$A:$A,ROW()-1)&gt;0,VLOOKUP(ROW()-1,Дела!$A:$N,14,0),"")</f>
        <v>45342</v>
      </c>
      <c r="H18" s="11" t="str">
        <f>IF(COUNTIF(Дела!$A:$A,ROW()-1)&gt;0,VLOOKUP(ROW()-1,Дела!$A:$K,11,0),"")</f>
        <v>Щербенев Сергей Николаевич</v>
      </c>
    </row>
    <row r="19" spans="1:8" x14ac:dyDescent="0.25">
      <c r="A19" s="11" t="str">
        <f>IF(COUNTIF(Дела!$A:$A,ROW()-1)&gt;0,VLOOKUP(ROW()-1,Дела!$A:$C,3,0),"")</f>
        <v>+7 (4842) 57-74-72_x000D_
+7 (495) 237-56-60_x000D_
+7 (8352) 34-90-38_x000D_
+7 (8617) 64-41-13_x000D_
+7 (4842) 59-75-73_x000D_
+7 (495) 237-55-40_x000D_
+7 (8352) 34-90-32_x000D_
+7 (8152) 24-62-01_x000D_
+7 (8352) 34-90-35_x000D_
+7 (8152) 24-62-04_x000D_
+7 (833) 262-13-00</v>
      </c>
      <c r="B19" s="11" t="str">
        <f>IF(COUNTIF(Дела!$A:$A,ROW()-1)&gt;0,VLOOKUP(ROW()-1,Дела!$A:$F,6,0),"")</f>
        <v>А40-33722/2024</v>
      </c>
      <c r="C19" s="11" t="str">
        <f>IF(COUNTIF(Дела!$A:$A,ROW()-1)&gt;0,VLOOKUP(ROW()-1,Дела!$A:$G,7,0),"")</f>
        <v>Департамент городского Имущества Города Москвы</v>
      </c>
      <c r="D19" s="11" t="str">
        <f>IF(COUNTIF(Дела!$A:$A,ROW()-1)&gt;0,VLOOKUP(ROW()-1,Дела!$A:$I,9,0),"")</f>
        <v>АНО ВО МГЭУ</v>
      </c>
      <c r="E19" s="11" t="str">
        <f t="shared" si="0"/>
        <v>Любовь Анисимовна</v>
      </c>
      <c r="F19" s="12">
        <f>IF(COUNTIF(Дела!$A:$A,ROW()-1)&gt;0,VLOOKUP(ROW()-1,Дела!$A:$M,13,0),"")</f>
        <v>952992.01</v>
      </c>
      <c r="G19" s="13">
        <f>IF(COUNTIF(Дела!$A:$A,ROW()-1)&gt;0,VLOOKUP(ROW()-1,Дела!$A:$N,14,0),"")</f>
        <v>45342</v>
      </c>
      <c r="H19" s="11" t="str">
        <f>IF(COUNTIF(Дела!$A:$A,ROW()-1)&gt;0,VLOOKUP(ROW()-1,Дела!$A:$K,11,0),"")</f>
        <v>Демидова Любовь Анисимовна</v>
      </c>
    </row>
    <row r="20" spans="1:8" x14ac:dyDescent="0.25">
      <c r="A20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20" s="11" t="str">
        <f>IF(COUNTIF(Дела!$A:$A,ROW()-1)&gt;0,VLOOKUP(ROW()-1,Дела!$A:$F,6,0),"")</f>
        <v>А40-34777/2024</v>
      </c>
      <c r="C20" s="11" t="str">
        <f>IF(COUNTIF(Дела!$A:$A,ROW()-1)&gt;0,VLOOKUP(ROW()-1,Дела!$A:$G,7,0),"")</f>
        <v>ООО "Транспортные Технологии"</v>
      </c>
      <c r="D20" s="11" t="str">
        <f>IF(COUNTIF(Дела!$A:$A,ROW()-1)&gt;0,VLOOKUP(ROW()-1,Дела!$A:$I,9,0),"")</f>
        <v>ОАО "РЖД"</v>
      </c>
      <c r="E20" s="11" t="str">
        <f t="shared" si="0"/>
        <v>Олег Валентинович</v>
      </c>
      <c r="F20" s="12">
        <f>IF(COUNTIF(Дела!$A:$A,ROW()-1)&gt;0,VLOOKUP(ROW()-1,Дела!$A:$M,13,0),"")</f>
        <v>1178136.1599999999</v>
      </c>
      <c r="G20" s="13">
        <f>IF(COUNTIF(Дела!$A:$A,ROW()-1)&gt;0,VLOOKUP(ROW()-1,Дела!$A:$N,14,0),"")</f>
        <v>45342</v>
      </c>
      <c r="H20" s="11" t="str">
        <f>IF(COUNTIF(Дела!$A:$A,ROW()-1)&gt;0,VLOOKUP(ROW()-1,Дела!$A:$K,11,0),"")</f>
        <v>Белозёров Олег Валентинович</v>
      </c>
    </row>
    <row r="21" spans="1:8" x14ac:dyDescent="0.25">
      <c r="A21" s="11">
        <f>IF(COUNTIF(Дела!$A:$A,ROW()-1)&gt;0,VLOOKUP(ROW()-1,Дела!$A:$C,3,0),"")</f>
        <v>0</v>
      </c>
      <c r="B21" s="11" t="str">
        <f>IF(COUNTIF(Дела!$A:$A,ROW()-1)&gt;0,VLOOKUP(ROW()-1,Дела!$A:$F,6,0),"")</f>
        <v>А40-34716/2024</v>
      </c>
      <c r="C21" s="11" t="str">
        <f>IF(COUNTIF(Дела!$A:$A,ROW()-1)&gt;0,VLOOKUP(ROW()-1,Дела!$A:$G,7,0),"")</f>
        <v>ООО "Сервис"</v>
      </c>
      <c r="D21" s="11" t="str">
        <f>IF(COUNTIF(Дела!$A:$A,ROW()-1)&gt;0,VLOOKUP(ROW()-1,Дела!$A:$I,9,0),"")</f>
        <v>ООО "Йота"</v>
      </c>
      <c r="E21" s="11" t="str">
        <f t="shared" si="0"/>
        <v>Елена Ивановна</v>
      </c>
      <c r="F21" s="12">
        <f>IF(COUNTIF(Дела!$A:$A,ROW()-1)&gt;0,VLOOKUP(ROW()-1,Дела!$A:$M,13,0),"")</f>
        <v>559266.07999999996</v>
      </c>
      <c r="G21" s="13">
        <f>IF(COUNTIF(Дела!$A:$A,ROW()-1)&gt;0,VLOOKUP(ROW()-1,Дела!$A:$N,14,0),"")</f>
        <v>45342</v>
      </c>
      <c r="H21" s="11" t="str">
        <f>IF(COUNTIF(Дела!$A:$A,ROW()-1)&gt;0,VLOOKUP(ROW()-1,Дела!$A:$K,11,0),"")</f>
        <v>Черноморченко Елена Ивановна</v>
      </c>
    </row>
    <row r="22" spans="1:8" x14ac:dyDescent="0.25">
      <c r="A22" s="11">
        <f>IF(COUNTIF(Дела!$A:$A,ROW()-1)&gt;0,VLOOKUP(ROW()-1,Дела!$A:$C,3,0),"")</f>
        <v>79266339592</v>
      </c>
      <c r="B22" s="11" t="str">
        <f>IF(COUNTIF(Дела!$A:$A,ROW()-1)&gt;0,VLOOKUP(ROW()-1,Дела!$A:$F,6,0),"")</f>
        <v>А40-34603/2024</v>
      </c>
      <c r="C22" s="11" t="str">
        <f>IF(COUNTIF(Дела!$A:$A,ROW()-1)&gt;0,VLOOKUP(ROW()-1,Дела!$A:$G,7,0),"")</f>
        <v>ООО УК "РЭЦ"</v>
      </c>
      <c r="D22" s="11" t="str">
        <f>IF(COUNTIF(Дела!$A:$A,ROW()-1)&gt;0,VLOOKUP(ROW()-1,Дела!$A:$I,9,0),"")</f>
        <v>ООО "Тасера"</v>
      </c>
      <c r="E22" s="11" t="str">
        <f t="shared" si="0"/>
        <v>Константин Сергеевич</v>
      </c>
      <c r="F22" s="12">
        <f>IF(COUNTIF(Дела!$A:$A,ROW()-1)&gt;0,VLOOKUP(ROW()-1,Дела!$A:$M,13,0),"")</f>
        <v>2628672</v>
      </c>
      <c r="G22" s="13">
        <f>IF(COUNTIF(Дела!$A:$A,ROW()-1)&gt;0,VLOOKUP(ROW()-1,Дела!$A:$N,14,0),"")</f>
        <v>45342</v>
      </c>
      <c r="H22" s="11" t="str">
        <f>IF(COUNTIF(Дела!$A:$A,ROW()-1)&gt;0,VLOOKUP(ROW()-1,Дела!$A:$K,11,0),"")</f>
        <v>Государев Константин Сергеевич</v>
      </c>
    </row>
    <row r="23" spans="1:8" x14ac:dyDescent="0.25">
      <c r="A23" s="11">
        <f>IF(COUNTIF(Дела!$A:$A,ROW()-1)&gt;0,VLOOKUP(ROW()-1,Дела!$A:$C,3,0),"")</f>
        <v>0</v>
      </c>
      <c r="B23" s="11" t="str">
        <f>IF(COUNTIF(Дела!$A:$A,ROW()-1)&gt;0,VLOOKUP(ROW()-1,Дела!$A:$F,6,0),"")</f>
        <v>А40-34562/2024</v>
      </c>
      <c r="C23" s="11" t="str">
        <f>IF(COUNTIF(Дела!$A:$A,ROW()-1)&gt;0,VLOOKUP(ROW()-1,Дела!$A:$G,7,0),"")</f>
        <v>ООО "Пик-Комфорт"</v>
      </c>
      <c r="D23" s="11" t="str">
        <f>IF(COUNTIF(Дела!$A:$A,ROW()-1)&gt;0,VLOOKUP(ROW()-1,Дела!$A:$I,9,0),"")</f>
        <v>ООО "Московская Международная Школа"</v>
      </c>
      <c r="E23" s="11" t="str">
        <f t="shared" si="0"/>
        <v>Марат Рафикович</v>
      </c>
      <c r="F23" s="12">
        <f>IF(COUNTIF(Дела!$A:$A,ROW()-1)&gt;0,VLOOKUP(ROW()-1,Дела!$A:$M,13,0),"")</f>
        <v>3093717.41</v>
      </c>
      <c r="G23" s="13">
        <f>IF(COUNTIF(Дела!$A:$A,ROW()-1)&gt;0,VLOOKUP(ROW()-1,Дела!$A:$N,14,0),"")</f>
        <v>45342</v>
      </c>
      <c r="H23" s="11" t="str">
        <f>IF(COUNTIF(Дела!$A:$A,ROW()-1)&gt;0,VLOOKUP(ROW()-1,Дела!$A:$K,11,0),"")</f>
        <v>Сяфуков Марат Рафикович</v>
      </c>
    </row>
    <row r="24" spans="1:8" x14ac:dyDescent="0.25">
      <c r="A24" s="11">
        <f>IF(COUNTIF(Дела!$A:$A,ROW()-1)&gt;0,VLOOKUP(ROW()-1,Дела!$A:$C,3,0),"")</f>
        <v>0</v>
      </c>
      <c r="B24" s="11" t="str">
        <f>IF(COUNTIF(Дела!$A:$A,ROW()-1)&gt;0,VLOOKUP(ROW()-1,Дела!$A:$F,6,0),"")</f>
        <v>А40-34464/2024</v>
      </c>
      <c r="C24" s="11" t="str">
        <f>IF(COUNTIF(Дела!$A:$A,ROW()-1)&gt;0,VLOOKUP(ROW()-1,Дела!$A:$G,7,0),"")</f>
        <v>АО "Мосэнергосбыт"</v>
      </c>
      <c r="D24" s="11" t="str">
        <f>IF(COUNTIF(Дела!$A:$A,ROW()-1)&gt;0,VLOOKUP(ROW()-1,Дела!$A:$I,9,0),"")</f>
        <v>ООО "УК "Меркурий-Покровское"</v>
      </c>
      <c r="E24" s="11" t="str">
        <f t="shared" si="0"/>
        <v>Никита Борисович</v>
      </c>
      <c r="F24" s="12">
        <f>IF(COUNTIF(Дела!$A:$A,ROW()-1)&gt;0,VLOOKUP(ROW()-1,Дела!$A:$M,13,0),"")</f>
        <v>1921285.72</v>
      </c>
      <c r="G24" s="13">
        <f>IF(COUNTIF(Дела!$A:$A,ROW()-1)&gt;0,VLOOKUP(ROW()-1,Дела!$A:$N,14,0),"")</f>
        <v>45342</v>
      </c>
      <c r="H24" s="11" t="str">
        <f>IF(COUNTIF(Дела!$A:$A,ROW()-1)&gt;0,VLOOKUP(ROW()-1,Дела!$A:$K,11,0),"")</f>
        <v>Кривоносов Никита Борисович</v>
      </c>
    </row>
    <row r="25" spans="1:8" x14ac:dyDescent="0.25">
      <c r="A25" s="11" t="str">
        <f>IF(COUNTIF(Дела!$A:$A,ROW()-1)&gt;0,VLOOKUP(ROW()-1,Дела!$A:$C,3,0),"")</f>
        <v>+7 (495) 651-95-99</v>
      </c>
      <c r="B25" s="11" t="str">
        <f>IF(COUNTIF(Дела!$A:$A,ROW()-1)&gt;0,VLOOKUP(ROW()-1,Дела!$A:$F,6,0),"")</f>
        <v>А40-34436/2024</v>
      </c>
      <c r="C25" s="11" t="str">
        <f>IF(COUNTIF(Дела!$A:$A,ROW()-1)&gt;0,VLOOKUP(ROW()-1,Дела!$A:$G,7,0),"")</f>
        <v>АО "ФМП Групп"</v>
      </c>
      <c r="D25" s="11" t="str">
        <f>IF(COUNTIF(Дела!$A:$A,ROW()-1)&gt;0,VLOOKUP(ROW()-1,Дела!$A:$I,9,0),"")</f>
        <v>ООО "Форс Медиа"</v>
      </c>
      <c r="E25" s="11" t="str">
        <f t="shared" si="0"/>
        <v>Алена Дмитриевна</v>
      </c>
      <c r="F25" s="12">
        <f>IF(COUNTIF(Дела!$A:$A,ROW()-1)&gt;0,VLOOKUP(ROW()-1,Дела!$A:$M,13,0),"")</f>
        <v>25743568.350000001</v>
      </c>
      <c r="G25" s="13">
        <f>IF(COUNTIF(Дела!$A:$A,ROW()-1)&gt;0,VLOOKUP(ROW()-1,Дела!$A:$N,14,0),"")</f>
        <v>45342</v>
      </c>
      <c r="H25" s="11" t="str">
        <f>IF(COUNTIF(Дела!$A:$A,ROW()-1)&gt;0,VLOOKUP(ROW()-1,Дела!$A:$K,11,0),"")</f>
        <v>Алпацкая Алена Дмитриевна</v>
      </c>
    </row>
    <row r="26" spans="1:8" x14ac:dyDescent="0.25">
      <c r="A26" s="11">
        <f>IF(COUNTIF(Дела!$A:$A,ROW()-1)&gt;0,VLOOKUP(ROW()-1,Дела!$A:$C,3,0),"")</f>
        <v>0</v>
      </c>
      <c r="B26" s="11" t="str">
        <f>IF(COUNTIF(Дела!$A:$A,ROW()-1)&gt;0,VLOOKUP(ROW()-1,Дела!$A:$F,6,0),"")</f>
        <v>А40-34311/2024</v>
      </c>
      <c r="C26" s="11" t="str">
        <f>IF(COUNTIF(Дела!$A:$A,ROW()-1)&gt;0,VLOOKUP(ROW()-1,Дела!$A:$G,7,0),"")</f>
        <v>ООО "Яндекс.Такси"</v>
      </c>
      <c r="D26" s="11" t="str">
        <f>IF(COUNTIF(Дела!$A:$A,ROW()-1)&gt;0,VLOOKUP(ROW()-1,Дела!$A:$I,9,0),"")</f>
        <v>ООО "Премьерспорт"</v>
      </c>
      <c r="E26" s="11" t="str">
        <f t="shared" si="0"/>
        <v>Елена Викторовна</v>
      </c>
      <c r="F26" s="12">
        <f>IF(COUNTIF(Дела!$A:$A,ROW()-1)&gt;0,VLOOKUP(ROW()-1,Дела!$A:$M,13,0),"")</f>
        <v>758931.9</v>
      </c>
      <c r="G26" s="13">
        <f>IF(COUNTIF(Дела!$A:$A,ROW()-1)&gt;0,VLOOKUP(ROW()-1,Дела!$A:$N,14,0),"")</f>
        <v>45342</v>
      </c>
      <c r="H26" s="11" t="str">
        <f>IF(COUNTIF(Дела!$A:$A,ROW()-1)&gt;0,VLOOKUP(ROW()-1,Дела!$A:$K,11,0),"")</f>
        <v>Абрамова Елена Викторовна</v>
      </c>
    </row>
    <row r="27" spans="1:8" x14ac:dyDescent="0.25">
      <c r="A27" s="11" t="str">
        <f>IF(COUNTIF(Дела!$A:$A,ROW()-1)&gt;0,VLOOKUP(ROW()-1,Дела!$A:$C,3,0),"")</f>
        <v>+7 (3412) 43-24-44_x000D_
+7 (3412) 94-39-38</v>
      </c>
      <c r="B27" s="11" t="str">
        <f>IF(COUNTIF(Дела!$A:$A,ROW()-1)&gt;0,VLOOKUP(ROW()-1,Дела!$A:$F,6,0),"")</f>
        <v>А40-33963/2024</v>
      </c>
      <c r="C27" s="11" t="str">
        <f>IF(COUNTIF(Дела!$A:$A,ROW()-1)&gt;0,VLOOKUP(ROW()-1,Дела!$A:$G,7,0),"")</f>
        <v>ООО "РМ-Плюс"</v>
      </c>
      <c r="D27" s="11" t="str">
        <f>IF(COUNTIF(Дела!$A:$A,ROW()-1)&gt;0,VLOOKUP(ROW()-1,Дела!$A:$I,9,0),"")</f>
        <v>ООО "Центр"</v>
      </c>
      <c r="E27" s="11" t="str">
        <f t="shared" si="0"/>
        <v>Константин Сергеевич</v>
      </c>
      <c r="F27" s="12">
        <f>IF(COUNTIF(Дела!$A:$A,ROW()-1)&gt;0,VLOOKUP(ROW()-1,Дела!$A:$M,13,0),"")</f>
        <v>7162071.9800000004</v>
      </c>
      <c r="G27" s="13">
        <f>IF(COUNTIF(Дела!$A:$A,ROW()-1)&gt;0,VLOOKUP(ROW()-1,Дела!$A:$N,14,0),"")</f>
        <v>45342</v>
      </c>
      <c r="H27" s="11" t="str">
        <f>IF(COUNTIF(Дела!$A:$A,ROW()-1)&gt;0,VLOOKUP(ROW()-1,Дела!$A:$K,11,0),"")</f>
        <v>Ощепков Константин Сергеевич</v>
      </c>
    </row>
    <row r="28" spans="1:8" x14ac:dyDescent="0.25">
      <c r="A28" s="11">
        <f>IF(COUNTIF(Дела!$A:$A,ROW()-1)&gt;0,VLOOKUP(ROW()-1,Дела!$A:$C,3,0),"")</f>
        <v>0</v>
      </c>
      <c r="B28" s="11" t="str">
        <f>IF(COUNTIF(Дела!$A:$A,ROW()-1)&gt;0,VLOOKUP(ROW()-1,Дела!$A:$F,6,0),"")</f>
        <v>А40-33988/2024</v>
      </c>
      <c r="C28" s="11" t="str">
        <f>IF(COUNTIF(Дела!$A:$A,ROW()-1)&gt;0,VLOOKUP(ROW()-1,Дела!$A:$G,7,0),"")</f>
        <v>АО "Первый Автокомбинат" имени Г.Л. Краузе</v>
      </c>
      <c r="D28" s="11" t="str">
        <f>IF(COUNTIF(Дела!$A:$A,ROW()-1)&gt;0,VLOOKUP(ROW()-1,Дела!$A:$I,9,0),"")</f>
        <v>ООО "Дск1-Ростокино"</v>
      </c>
      <c r="E28" s="11" t="str">
        <f t="shared" si="0"/>
        <v/>
      </c>
      <c r="F28" s="12">
        <f>IF(COUNTIF(Дела!$A:$A,ROW()-1)&gt;0,VLOOKUP(ROW()-1,Дела!$A:$M,13,0),"")</f>
        <v>1893833.16</v>
      </c>
      <c r="G28" s="13">
        <f>IF(COUNTIF(Дела!$A:$A,ROW()-1)&gt;0,VLOOKUP(ROW()-1,Дела!$A:$N,14,0),"")</f>
        <v>45342</v>
      </c>
      <c r="H28" s="11" t="str">
        <f>IF(COUNTIF(Дела!$A:$A,ROW()-1)&gt;0,VLOOKUP(ROW()-1,Дела!$A:$K,11,0),"")</f>
        <v/>
      </c>
    </row>
    <row r="29" spans="1:8" x14ac:dyDescent="0.25">
      <c r="A29" s="11" t="str">
        <f>IF(COUNTIF(Дела!$A:$A,ROW()-1)&gt;0,VLOOKUP(ROW()-1,Дела!$A:$C,3,0),"")</f>
        <v>+7 (8452) 25-99-20_x000D_
+7 (8452) 49-73-95_x000D_
+7 (8453) 53-64-28</v>
      </c>
      <c r="B29" s="11" t="str">
        <f>IF(COUNTIF(Дела!$A:$A,ROW()-1)&gt;0,VLOOKUP(ROW()-1,Дела!$A:$F,6,0),"")</f>
        <v>А40-33916/2024</v>
      </c>
      <c r="C29" s="11" t="str">
        <f>IF(COUNTIF(Дела!$A:$A,ROW()-1)&gt;0,VLOOKUP(ROW()-1,Дела!$A:$G,7,0),"")</f>
        <v>ООО "ЗНГС-Прометей"</v>
      </c>
      <c r="D29" s="11" t="str">
        <f>IF(COUNTIF(Дела!$A:$A,ROW()-1)&gt;0,VLOOKUP(ROW()-1,Дела!$A:$I,9,0),"")</f>
        <v>ООО "ССГ"</v>
      </c>
      <c r="E29" s="11" t="str">
        <f t="shared" si="0"/>
        <v>Андрей Леонидович</v>
      </c>
      <c r="F29" s="12">
        <f>IF(COUNTIF(Дела!$A:$A,ROW()-1)&gt;0,VLOOKUP(ROW()-1,Дела!$A:$M,13,0),"")</f>
        <v>70983586.640000001</v>
      </c>
      <c r="G29" s="13">
        <f>IF(COUNTIF(Дела!$A:$A,ROW()-1)&gt;0,VLOOKUP(ROW()-1,Дела!$A:$N,14,0),"")</f>
        <v>45342</v>
      </c>
      <c r="H29" s="11" t="str">
        <f>IF(COUNTIF(Дела!$A:$A,ROW()-1)&gt;0,VLOOKUP(ROW()-1,Дела!$A:$K,11,0),"")</f>
        <v>Жуков Андрей Леонидович</v>
      </c>
    </row>
    <row r="30" spans="1:8" x14ac:dyDescent="0.25">
      <c r="A30" s="11">
        <f>IF(COUNTIF(Дела!$A:$A,ROW()-1)&gt;0,VLOOKUP(ROW()-1,Дела!$A:$C,3,0),"")</f>
        <v>0</v>
      </c>
      <c r="B30" s="11" t="str">
        <f>IF(COUNTIF(Дела!$A:$A,ROW()-1)&gt;0,VLOOKUP(ROW()-1,Дела!$A:$F,6,0),"")</f>
        <v>А40-33857/2024</v>
      </c>
      <c r="C30" s="11" t="str">
        <f>IF(COUNTIF(Дела!$A:$A,ROW()-1)&gt;0,VLOOKUP(ROW()-1,Дела!$A:$G,7,0),"")</f>
        <v>ООО "Веста"</v>
      </c>
      <c r="D30" s="11" t="str">
        <f>IF(COUNTIF(Дела!$A:$A,ROW()-1)&gt;0,VLOOKUP(ROW()-1,Дела!$A:$I,9,0),"")</f>
        <v>ООО "Альянс-Строй"</v>
      </c>
      <c r="E30" s="11" t="str">
        <f t="shared" si="0"/>
        <v>Анатолий Иванович</v>
      </c>
      <c r="F30" s="12">
        <f>IF(COUNTIF(Дела!$A:$A,ROW()-1)&gt;0,VLOOKUP(ROW()-1,Дела!$A:$M,13,0),"")</f>
        <v>564253.97</v>
      </c>
      <c r="G30" s="13">
        <f>IF(COUNTIF(Дела!$A:$A,ROW()-1)&gt;0,VLOOKUP(ROW()-1,Дела!$A:$N,14,0),"")</f>
        <v>45342</v>
      </c>
      <c r="H30" s="11" t="str">
        <f>IF(COUNTIF(Дела!$A:$A,ROW()-1)&gt;0,VLOOKUP(ROW()-1,Дела!$A:$K,11,0),"")</f>
        <v>Ляшко Анатолий Иванович</v>
      </c>
    </row>
    <row r="31" spans="1:8" x14ac:dyDescent="0.25">
      <c r="A31" s="11" t="str">
        <f>IF(COUNTIF(Дела!$A:$A,ROW()-1)&gt;0,VLOOKUP(ROW()-1,Дела!$A:$C,3,0),"")</f>
        <v>+7 (915) 879-88-34</v>
      </c>
      <c r="B31" s="11" t="str">
        <f>IF(COUNTIF(Дела!$A:$A,ROW()-1)&gt;0,VLOOKUP(ROW()-1,Дела!$A:$F,6,0),"")</f>
        <v>А40-33816/2024</v>
      </c>
      <c r="C31" s="11" t="str">
        <f>IF(COUNTIF(Дела!$A:$A,ROW()-1)&gt;0,VLOOKUP(ROW()-1,Дела!$A:$G,7,0),"")</f>
        <v>ООО "ТДМ"</v>
      </c>
      <c r="D31" s="11" t="str">
        <f>IF(COUNTIF(Дела!$A:$A,ROW()-1)&gt;0,VLOOKUP(ROW()-1,Дела!$A:$I,9,0),"")</f>
        <v>ООО "Дсу-68"</v>
      </c>
      <c r="E31" s="11" t="str">
        <f t="shared" si="0"/>
        <v>Армен Гасанович</v>
      </c>
      <c r="F31" s="12">
        <f>IF(COUNTIF(Дела!$A:$A,ROW()-1)&gt;0,VLOOKUP(ROW()-1,Дела!$A:$M,13,0),"")</f>
        <v>992375.71</v>
      </c>
      <c r="G31" s="13">
        <f>IF(COUNTIF(Дела!$A:$A,ROW()-1)&gt;0,VLOOKUP(ROW()-1,Дела!$A:$N,14,0),"")</f>
        <v>45342</v>
      </c>
      <c r="H31" s="11" t="str">
        <f>IF(COUNTIF(Дела!$A:$A,ROW()-1)&gt;0,VLOOKUP(ROW()-1,Дела!$A:$K,11,0),"")</f>
        <v>Хабоян Армен Гасанович</v>
      </c>
    </row>
    <row r="32" spans="1:8" x14ac:dyDescent="0.25">
      <c r="A32" s="11" t="str">
        <f>IF(COUNTIF(Дела!$A:$A,ROW()-1)&gt;0,VLOOKUP(ROW()-1,Дела!$A:$C,3,0),"")</f>
        <v>+7 (985) 776-86-74</v>
      </c>
      <c r="B32" s="11" t="str">
        <f>IF(COUNTIF(Дела!$A:$A,ROW()-1)&gt;0,VLOOKUP(ROW()-1,Дела!$A:$F,6,0),"")</f>
        <v>А40-33867/2024</v>
      </c>
      <c r="C32" s="11" t="str">
        <f>IF(COUNTIF(Дела!$A:$A,ROW()-1)&gt;0,VLOOKUP(ROW()-1,Дела!$A:$G,7,0),"")</f>
        <v>АО "СТВ"</v>
      </c>
      <c r="D32" s="11" t="str">
        <f>IF(COUNTIF(Дела!$A:$A,ROW()-1)&gt;0,VLOOKUP(ROW()-1,Дела!$A:$I,9,0),"")</f>
        <v>ООО "Е ТВ"</v>
      </c>
      <c r="E32" s="11" t="str">
        <f t="shared" si="0"/>
        <v>Виктория Викторовна</v>
      </c>
      <c r="F32" s="12">
        <f>IF(COUNTIF(Дела!$A:$A,ROW()-1)&gt;0,VLOOKUP(ROW()-1,Дела!$A:$M,13,0),"")</f>
        <v>3186869.71</v>
      </c>
      <c r="G32" s="13">
        <f>IF(COUNTIF(Дела!$A:$A,ROW()-1)&gt;0,VLOOKUP(ROW()-1,Дела!$A:$N,14,0),"")</f>
        <v>45342</v>
      </c>
      <c r="H32" s="11" t="str">
        <f>IF(COUNTIF(Дела!$A:$A,ROW()-1)&gt;0,VLOOKUP(ROW()-1,Дела!$A:$K,11,0),"")</f>
        <v>Кирсанова Виктория Викторовна</v>
      </c>
    </row>
    <row r="33" spans="1:8" ht="409.5" x14ac:dyDescent="0.25">
      <c r="A33" s="11" t="str">
        <f>IF(COUNTIF(Дела!$A:$A,ROW()-1)&gt;0,VLOOKUP(ROW()-1,Дела!$A:$C,3,0),"")</f>
        <v>+7 (499) 126-66-08_x000D_
+7 (495) 942-71-71_x000D_
+7 (495) 236-13-15_x000D_
+7 (499) 550-00-55_x000D_
+7 (495) 223-40-25, доб 607_x000D_
+7 (495) 987-31-66_x000D_
+7 (495) 727-25-82_x000D_
+7 (495) 727-24-24, доб 5834_x000D_
+7 (495) 223-40-20, доб 5662_x000D_
+7 (495) 727-24-75_x000D_
+7 (495) 983-06-78_x000D_
+7 (495) 758-68-69_x000D_
+7 (495) 727-25-37_x000D_
+7 (495) 223-40-20, доб 5607_x000D_
+7 (495) 942-95-95_x000D_
+7 (495) 942-80-80_x000D_
+7 (495) 948-62-80_x000D_
+7 (495) 983-06-71_x000D_
+7 (495) 222-22-22, доб 2_x000D_
+7 (495) 727-25-24_x000D_
+7 (495) 727-25-23_x000D_
+7 (495) 727-26-26_x000D_
+7 (495) 987-42-33, доб 4177_x000D_
+7 (495) 223-40-20_x000D_
+7 (495) 727-24-24_x000D_
+7 (495) 727-26-25_x000D_
+7 (495) 727-25-98_x000D_
+7 (495) 000-00-00_x000D_
+7 (495) 727-80-80_x000D_
+7 (495) 223-40-20, доб 5657_x000D_
+7 (495) 228-12-23_x000D_
+7 (495) 126-26-35</v>
      </c>
      <c r="B33" s="11" t="str">
        <f>IF(COUNTIF(Дела!$A:$A,ROW()-1)&gt;0,VLOOKUP(ROW()-1,Дела!$A:$F,6,0),"")</f>
        <v>А40-33905/2024</v>
      </c>
      <c r="C33" s="11" t="str">
        <f>IF(COUNTIF(Дела!$A:$A,ROW()-1)&gt;0,VLOOKUP(ROW()-1,Дела!$A:$G,7,0),"")</f>
        <v>ООО "Элфокс"</v>
      </c>
      <c r="D33" s="11" t="str">
        <f>IF(COUNTIF(Дела!$A:$A,ROW()-1)&gt;0,VLOOKUP(ROW()-1,Дела!$A:$I,9,0),"")</f>
        <v>ООО "Крокус"</v>
      </c>
      <c r="E33" s="11" t="str">
        <f t="shared" si="0"/>
        <v>Марина Николаевна</v>
      </c>
      <c r="F33" s="12">
        <f>IF(COUNTIF(Дела!$A:$A,ROW()-1)&gt;0,VLOOKUP(ROW()-1,Дела!$A:$M,13,0),"")</f>
        <v>3207953.92</v>
      </c>
      <c r="G33" s="13">
        <f>IF(COUNTIF(Дела!$A:$A,ROW()-1)&gt;0,VLOOKUP(ROW()-1,Дела!$A:$N,14,0),"")</f>
        <v>45342</v>
      </c>
      <c r="H33" s="11" t="str">
        <f>IF(COUNTIF(Дела!$A:$A,ROW()-1)&gt;0,VLOOKUP(ROW()-1,Дела!$A:$K,11,0),"")</f>
        <v>Мросвирина Марина Николаевна</v>
      </c>
    </row>
    <row r="34" spans="1:8" ht="45" x14ac:dyDescent="0.25">
      <c r="A34" s="11" t="str">
        <f>IF(COUNTIF(Дела!$A:$A,ROW()-1)&gt;0,VLOOKUP(ROW()-1,Дела!$A:$C,3,0),"")</f>
        <v>+7 (495) 230-55-87</v>
      </c>
      <c r="B34" s="11" t="str">
        <f>IF(COUNTIF(Дела!$A:$A,ROW()-1)&gt;0,VLOOKUP(ROW()-1,Дела!$A:$F,6,0),"")</f>
        <v>А40-34623/2024</v>
      </c>
      <c r="C34" s="11" t="str">
        <f>IF(COUNTIF(Дела!$A:$A,ROW()-1)&gt;0,VLOOKUP(ROW()-1,Дела!$A:$G,7,0),"")</f>
        <v>ПАО "Промсвязьбанк"</v>
      </c>
      <c r="D34" s="11" t="str">
        <f>IF(COUNTIF(Дела!$A:$A,ROW()-1)&gt;0,VLOOKUP(ROW()-1,Дела!$A:$I,9,0),"")</f>
        <v>ООО "БТС"</v>
      </c>
      <c r="E34" s="11" t="str">
        <f t="shared" si="0"/>
        <v>Мирзотуйчи Мирзоазизович</v>
      </c>
      <c r="F34" s="12">
        <f>IF(COUNTIF(Дела!$A:$A,ROW()-1)&gt;0,VLOOKUP(ROW()-1,Дела!$A:$M,13,0),"")</f>
        <v>2537141.9700000002</v>
      </c>
      <c r="G34" s="13">
        <f>IF(COUNTIF(Дела!$A:$A,ROW()-1)&gt;0,VLOOKUP(ROW()-1,Дела!$A:$N,14,0),"")</f>
        <v>45342</v>
      </c>
      <c r="H34" s="11" t="str">
        <f>IF(COUNTIF(Дела!$A:$A,ROW()-1)&gt;0,VLOOKUP(ROW()-1,Дела!$A:$K,11,0),"")</f>
        <v>Мухтаров Мирзотуйчи Мирзоазизович</v>
      </c>
    </row>
    <row r="35" spans="1:8" ht="409.5" x14ac:dyDescent="0.25">
      <c r="A35" s="11" t="str">
        <f>IF(COUNTIF(Дела!$A:$A,ROW()-1)&gt;0,VLOOKUP(ROW()-1,Дела!$A:$C,3,0),"")</f>
        <v>+7 (495) 789-85-55_x000D_
+7 (495) 789-85-56_x000D_
+7 (3496) 39-81-12, доб 55_x000D_
+7 (495) 789-85-55, доб 55_x000D_
+7 (495) 789-85-55, доб 7_x000D_
+7 (921) 321-63-10_x000D_
+7 (495) 789-85-55, доб 1858_x000D_
+7 (495) 789-85-55, доб 1875_x000D_
+7 (495) 778-85-55_x000D_
+7 (495) 779-85-56_x000D_
+7 (812) 336-69-90_x000D_
+7 (812) 336-69-91_x000D_
+7 (81371) 3-03-17_x000D_
+7 (495) 781-08-55</v>
      </c>
      <c r="B35" s="11" t="str">
        <f>IF(COUNTIF(Дела!$A:$A,ROW()-1)&gt;0,VLOOKUP(ROW()-1,Дела!$A:$F,6,0),"")</f>
        <v>А40-33896/2024</v>
      </c>
      <c r="C35" s="11" t="str">
        <f>IF(COUNTIF(Дела!$A:$A,ROW()-1)&gt;0,VLOOKUP(ROW()-1,Дела!$A:$G,7,0),"")</f>
        <v>ООО "СЗТК"</v>
      </c>
      <c r="D35" s="11" t="str">
        <f>IF(COUNTIF(Дела!$A:$A,ROW()-1)&gt;0,VLOOKUP(ROW()-1,Дела!$A:$I,9,0),"")</f>
        <v>ООО "ПФ "ВИС"</v>
      </c>
      <c r="E35" s="11" t="str">
        <f t="shared" si="0"/>
        <v>Сергей Сергеевич</v>
      </c>
      <c r="F35" s="12">
        <f>IF(COUNTIF(Дела!$A:$A,ROW()-1)&gt;0,VLOOKUP(ROW()-1,Дела!$A:$M,13,0),"")</f>
        <v>1169834.1200000001</v>
      </c>
      <c r="G35" s="13">
        <f>IF(COUNTIF(Дела!$A:$A,ROW()-1)&gt;0,VLOOKUP(ROW()-1,Дела!$A:$N,14,0),"")</f>
        <v>45342</v>
      </c>
      <c r="H35" s="11" t="str">
        <f>IF(COUNTIF(Дела!$A:$A,ROW()-1)&gt;0,VLOOKUP(ROW()-1,Дела!$A:$K,11,0),"")</f>
        <v>Юдин Сергей Сергеевич</v>
      </c>
    </row>
    <row r="36" spans="1:8" ht="30" x14ac:dyDescent="0.25">
      <c r="A36" s="11" t="str">
        <f>IF(COUNTIF(Дела!$A:$A,ROW()-1)&gt;0,VLOOKUP(ROW()-1,Дела!$A:$C,3,0),"")</f>
        <v>+7 (922) 639-44-44</v>
      </c>
      <c r="B36" s="11" t="str">
        <f>IF(COUNTIF(Дела!$A:$A,ROW()-1)&gt;0,VLOOKUP(ROW()-1,Дела!$A:$F,6,0),"")</f>
        <v>А40-33981/2024</v>
      </c>
      <c r="C36" s="11" t="str">
        <f>IF(COUNTIF(Дела!$A:$A,ROW()-1)&gt;0,VLOOKUP(ROW()-1,Дела!$A:$G,7,0),"")</f>
        <v>АО "НЛТ"</v>
      </c>
      <c r="D36" s="11" t="str">
        <f>IF(COUNTIF(Дела!$A:$A,ROW()-1)&gt;0,VLOOKUP(ROW()-1,Дела!$A:$I,9,0),"")</f>
        <v>ООО "Промстрой"</v>
      </c>
      <c r="E36" s="11" t="str">
        <f t="shared" si="0"/>
        <v>Гайк Сергеевич</v>
      </c>
      <c r="F36" s="12">
        <f>IF(COUNTIF(Дела!$A:$A,ROW()-1)&gt;0,VLOOKUP(ROW()-1,Дела!$A:$M,13,0),"")</f>
        <v>4099713.42</v>
      </c>
      <c r="G36" s="13">
        <f>IF(COUNTIF(Дела!$A:$A,ROW()-1)&gt;0,VLOOKUP(ROW()-1,Дела!$A:$N,14,0),"")</f>
        <v>45342</v>
      </c>
      <c r="H36" s="11" t="str">
        <f>IF(COUNTIF(Дела!$A:$A,ROW()-1)&gt;0,VLOOKUP(ROW()-1,Дела!$A:$K,11,0),"")</f>
        <v>Оганян Гайк Сергеевич</v>
      </c>
    </row>
    <row r="37" spans="1:8" ht="105" x14ac:dyDescent="0.25">
      <c r="A37" s="11" t="str">
        <f>IF(COUNTIF(Дела!$A:$A,ROW()-1)&gt;0,VLOOKUP(ROW()-1,Дела!$A:$C,3,0),"")</f>
        <v>+7 (495) 214-97-55_x000D_
+7 (498) 505-95-47_x000D_
8 (800) 250-43-88_x000D_
+7 (495) 741-93-10</v>
      </c>
      <c r="B37" s="11" t="str">
        <f>IF(COUNTIF(Дела!$A:$A,ROW()-1)&gt;0,VLOOKUP(ROW()-1,Дела!$A:$F,6,0),"")</f>
        <v>А40-34342/2024</v>
      </c>
      <c r="C37" s="11" t="str">
        <f>IF(COUNTIF(Дела!$A:$A,ROW()-1)&gt;0,VLOOKUP(ROW()-1,Дела!$A:$G,7,0),"")</f>
        <v>АО "Мосэнергосбыт"</v>
      </c>
      <c r="D37" s="11" t="str">
        <f>IF(COUNTIF(Дела!$A:$A,ROW()-1)&gt;0,VLOOKUP(ROW()-1,Дела!$A:$I,9,0),"")</f>
        <v>ООО "УК Август ЖКХ"</v>
      </c>
      <c r="E37" s="11" t="str">
        <f t="shared" si="0"/>
        <v>Игорь Владимирович</v>
      </c>
      <c r="F37" s="12">
        <f>IF(COUNTIF(Дела!$A:$A,ROW()-1)&gt;0,VLOOKUP(ROW()-1,Дела!$A:$M,13,0),"")</f>
        <v>516806.26</v>
      </c>
      <c r="G37" s="13">
        <f>IF(COUNTIF(Дела!$A:$A,ROW()-1)&gt;0,VLOOKUP(ROW()-1,Дела!$A:$N,14,0),"")</f>
        <v>45342</v>
      </c>
      <c r="H37" s="11" t="str">
        <f>IF(COUNTIF(Дела!$A:$A,ROW()-1)&gt;0,VLOOKUP(ROW()-1,Дела!$A:$K,11,0),"")</f>
        <v>Киляков Игорь Владимирович</v>
      </c>
    </row>
    <row r="38" spans="1:8" ht="409.5" x14ac:dyDescent="0.25">
      <c r="A38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38" s="11" t="str">
        <f>IF(COUNTIF(Дела!$A:$A,ROW()-1)&gt;0,VLOOKUP(ROW()-1,Дела!$A:$F,6,0),"")</f>
        <v>А40-34432/2024</v>
      </c>
      <c r="C38" s="11" t="str">
        <f>IF(COUNTIF(Дела!$A:$A,ROW()-1)&gt;0,VLOOKUP(ROW()-1,Дела!$A:$G,7,0),"")</f>
        <v>ООО "ЧНК"</v>
      </c>
      <c r="D38" s="11" t="str">
        <f>IF(COUNTIF(Дела!$A:$A,ROW()-1)&gt;0,VLOOKUP(ROW()-1,Дела!$A:$I,9,0),"")</f>
        <v>ОАО "РЖД"</v>
      </c>
      <c r="E38" s="11" t="str">
        <f t="shared" si="0"/>
        <v>Олег Валентинович</v>
      </c>
      <c r="F38" s="12">
        <f>IF(COUNTIF(Дела!$A:$A,ROW()-1)&gt;0,VLOOKUP(ROW()-1,Дела!$A:$M,13,0),"")</f>
        <v>619878.84</v>
      </c>
      <c r="G38" s="13">
        <f>IF(COUNTIF(Дела!$A:$A,ROW()-1)&gt;0,VLOOKUP(ROW()-1,Дела!$A:$N,14,0),"")</f>
        <v>45342</v>
      </c>
      <c r="H38" s="11" t="str">
        <f>IF(COUNTIF(Дела!$A:$A,ROW()-1)&gt;0,VLOOKUP(ROW()-1,Дела!$A:$K,11,0),"")</f>
        <v>Белозёров Олег Валентинович</v>
      </c>
    </row>
    <row r="39" spans="1:8" ht="120" x14ac:dyDescent="0.25">
      <c r="A39" s="11" t="str">
        <f>IF(COUNTIF(Дела!$A:$A,ROW()-1)&gt;0,VLOOKUP(ROW()-1,Дела!$A:$C,3,0),"")</f>
        <v>+7 (495) 708-31-35_x000D_
+7 (495) 137-56-25_x000D_
+7 (985) 163-53-43_x000D_
+7 (495) 921-31-21</v>
      </c>
      <c r="B39" s="11" t="str">
        <f>IF(COUNTIF(Дела!$A:$A,ROW()-1)&gt;0,VLOOKUP(ROW()-1,Дела!$A:$F,6,0),"")</f>
        <v>А40-34287/2024</v>
      </c>
      <c r="C39" s="11" t="str">
        <f>IF(COUNTIF(Дела!$A:$A,ROW()-1)&gt;0,VLOOKUP(ROW()-1,Дела!$A:$G,7,0),"")</f>
        <v>ООО "СМ-Групп"</v>
      </c>
      <c r="D39" s="11" t="str">
        <f>IF(COUNTIF(Дела!$A:$A,ROW()-1)&gt;0,VLOOKUP(ROW()-1,Дела!$A:$I,9,0),"")</f>
        <v>ООО "Главмонтажстрой"</v>
      </c>
      <c r="E39" s="11" t="str">
        <f t="shared" si="0"/>
        <v>Сергей Викторович</v>
      </c>
      <c r="F39" s="12">
        <f>IF(COUNTIF(Дела!$A:$A,ROW()-1)&gt;0,VLOOKUP(ROW()-1,Дела!$A:$M,13,0),"")</f>
        <v>7142160</v>
      </c>
      <c r="G39" s="13">
        <f>IF(COUNTIF(Дела!$A:$A,ROW()-1)&gt;0,VLOOKUP(ROW()-1,Дела!$A:$N,14,0),"")</f>
        <v>45342</v>
      </c>
      <c r="H39" s="11" t="str">
        <f>IF(COUNTIF(Дела!$A:$A,ROW()-1)&gt;0,VLOOKUP(ROW()-1,Дела!$A:$K,11,0),"")</f>
        <v>Еремичев Сергей Викторович</v>
      </c>
    </row>
    <row r="40" spans="1:8" ht="150" x14ac:dyDescent="0.25">
      <c r="A40" s="11" t="str">
        <f>IF(COUNTIF(Дела!$A:$A,ROW()-1)&gt;0,VLOOKUP(ROW()-1,Дела!$A:$C,3,0),"")</f>
        <v>+7 (48336) 4-02-66_x000D_
+7 (48336) 4-24-85_x000D_
+7 (48336) 4-69-37_x000D_
+7 (916) 684-81-94_x000D_
+7 (910) 734-44-86</v>
      </c>
      <c r="B40" s="11" t="str">
        <f>IF(COUNTIF(Дела!$A:$A,ROW()-1)&gt;0,VLOOKUP(ROW()-1,Дела!$A:$F,6,0),"")</f>
        <v>А40-34248/2024</v>
      </c>
      <c r="C40" s="11" t="str">
        <f>IF(COUNTIF(Дела!$A:$A,ROW()-1)&gt;0,VLOOKUP(ROW()-1,Дела!$A:$G,7,0),"")</f>
        <v>ФГУП "Эндофарм"</v>
      </c>
      <c r="D40" s="11" t="str">
        <f>IF(COUNTIF(Дела!$A:$A,ROW()-1)&gt;0,VLOOKUP(ROW()-1,Дела!$A:$I,9,0),"")</f>
        <v>ООО "Клинцовское Сум"</v>
      </c>
      <c r="E40" s="11" t="str">
        <f t="shared" si="0"/>
        <v>Александр Васильевич</v>
      </c>
      <c r="F40" s="12">
        <f>IF(COUNTIF(Дела!$A:$A,ROW()-1)&gt;0,VLOOKUP(ROW()-1,Дела!$A:$M,13,0),"")</f>
        <v>754139.65</v>
      </c>
      <c r="G40" s="13">
        <f>IF(COUNTIF(Дела!$A:$A,ROW()-1)&gt;0,VLOOKUP(ROW()-1,Дела!$A:$N,14,0),"")</f>
        <v>45342</v>
      </c>
      <c r="H40" s="11" t="str">
        <f>IF(COUNTIF(Дела!$A:$A,ROW()-1)&gt;0,VLOOKUP(ROW()-1,Дела!$A:$K,11,0),"")</f>
        <v>Лысаков Александр Васильевич</v>
      </c>
    </row>
    <row r="41" spans="1:8" ht="30" x14ac:dyDescent="0.25">
      <c r="A41" s="11">
        <f>IF(COUNTIF(Дела!$A:$A,ROW()-1)&gt;0,VLOOKUP(ROW()-1,Дела!$A:$C,3,0),"")</f>
        <v>0</v>
      </c>
      <c r="B41" s="11" t="str">
        <f>IF(COUNTIF(Дела!$A:$A,ROW()-1)&gt;0,VLOOKUP(ROW()-1,Дела!$A:$F,6,0),"")</f>
        <v>А40-34101/2024</v>
      </c>
      <c r="C41" s="11">
        <f>IF(COUNTIF(Дела!$A:$A,ROW()-1)&gt;0,VLOOKUP(ROW()-1,Дела!$A:$G,7,0),"")</f>
        <v>0</v>
      </c>
      <c r="D41" s="11" t="str">
        <f>IF(COUNTIF(Дела!$A:$A,ROW()-1)&gt;0,VLOOKUP(ROW()-1,Дела!$A:$I,9,0),"")</f>
        <v>ООО "Сити-Планнинг"</v>
      </c>
      <c r="E41" s="11" t="str">
        <f t="shared" si="0"/>
        <v>Александр Александрович</v>
      </c>
      <c r="F41" s="12">
        <f>IF(COUNTIF(Дела!$A:$A,ROW()-1)&gt;0,VLOOKUP(ROW()-1,Дела!$A:$M,13,0),"")</f>
        <v>2136000</v>
      </c>
      <c r="G41" s="13">
        <f>IF(COUNTIF(Дела!$A:$A,ROW()-1)&gt;0,VLOOKUP(ROW()-1,Дела!$A:$N,14,0),"")</f>
        <v>45342</v>
      </c>
      <c r="H41" s="11" t="str">
        <f>IF(COUNTIF(Дела!$A:$A,ROW()-1)&gt;0,VLOOKUP(ROW()-1,Дела!$A:$K,11,0),"")</f>
        <v>Глебов Александр Александрович</v>
      </c>
    </row>
    <row r="42" spans="1:8" ht="409.5" x14ac:dyDescent="0.25">
      <c r="A42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42" s="11" t="str">
        <f>IF(COUNTIF(Дела!$A:$A,ROW()-1)&gt;0,VLOOKUP(ROW()-1,Дела!$A:$F,6,0),"")</f>
        <v>А40-34148/2024</v>
      </c>
      <c r="C42" s="11" t="str">
        <f>IF(COUNTIF(Дела!$A:$A,ROW()-1)&gt;0,VLOOKUP(ROW()-1,Дела!$A:$G,7,0),"")</f>
        <v>ООО "Евразия"</v>
      </c>
      <c r="D42" s="11" t="str">
        <f>IF(COUNTIF(Дела!$A:$A,ROW()-1)&gt;0,VLOOKUP(ROW()-1,Дела!$A:$I,9,0),"")</f>
        <v>ОАО "РЖД"</v>
      </c>
      <c r="E42" s="11" t="str">
        <f t="shared" si="0"/>
        <v>Олег Валентинович</v>
      </c>
      <c r="F42" s="12">
        <f>IF(COUNTIF(Дела!$A:$A,ROW()-1)&gt;0,VLOOKUP(ROW()-1,Дела!$A:$M,13,0),"")</f>
        <v>3083200</v>
      </c>
      <c r="G42" s="13">
        <f>IF(COUNTIF(Дела!$A:$A,ROW()-1)&gt;0,VLOOKUP(ROW()-1,Дела!$A:$N,14,0),"")</f>
        <v>45342</v>
      </c>
      <c r="H42" s="11" t="str">
        <f>IF(COUNTIF(Дела!$A:$A,ROW()-1)&gt;0,VLOOKUP(ROW()-1,Дела!$A:$K,11,0),"")</f>
        <v>Белозёров Олег Валентинович</v>
      </c>
    </row>
    <row r="43" spans="1:8" ht="30" x14ac:dyDescent="0.25">
      <c r="A43" s="11">
        <f>IF(COUNTIF(Дела!$A:$A,ROW()-1)&gt;0,VLOOKUP(ROW()-1,Дела!$A:$C,3,0),"")</f>
        <v>0</v>
      </c>
      <c r="B43" s="11" t="str">
        <f>IF(COUNTIF(Дела!$A:$A,ROW()-1)&gt;0,VLOOKUP(ROW()-1,Дела!$A:$F,6,0),"")</f>
        <v>А40-34811/2024</v>
      </c>
      <c r="C43" s="11" t="str">
        <f>IF(COUNTIF(Дела!$A:$A,ROW()-1)&gt;0,VLOOKUP(ROW()-1,Дела!$A:$G,7,0),"")</f>
        <v>ООО "Опцион-ТМ"</v>
      </c>
      <c r="D43" s="11" t="str">
        <f>IF(COUNTIF(Дела!$A:$A,ROW()-1)&gt;0,VLOOKUP(ROW()-1,Дела!$A:$I,9,0),"")</f>
        <v>ИП Кулалаева Зухра Исагаджиевна</v>
      </c>
      <c r="E43" s="11" t="str">
        <f t="shared" si="0"/>
        <v>Зухра Исагаджиевна</v>
      </c>
      <c r="F43" s="12">
        <f>IF(COUNTIF(Дела!$A:$A,ROW()-1)&gt;0,VLOOKUP(ROW()-1,Дела!$A:$M,13,0),"")</f>
        <v>35229665.420000002</v>
      </c>
      <c r="G43" s="13">
        <f>IF(COUNTIF(Дела!$A:$A,ROW()-1)&gt;0,VLOOKUP(ROW()-1,Дела!$A:$N,14,0),"")</f>
        <v>45342</v>
      </c>
      <c r="H43" s="11" t="str">
        <f>IF(COUNTIF(Дела!$A:$A,ROW()-1)&gt;0,VLOOKUP(ROW()-1,Дела!$A:$K,11,0),"")</f>
        <v>Кулалаева Зухра Исагаджиевна</v>
      </c>
    </row>
    <row r="44" spans="1:8" ht="409.5" x14ac:dyDescent="0.25">
      <c r="A44" s="11" t="str">
        <f>IF(COUNTIF(Дела!$A:$A,ROW()-1)&gt;0,VLOOKUP(ROW()-1,Дела!$A:$C,3,0),"")</f>
        <v>+7 (495) 696-60-26_x000D_
+7 (495) 696-89-00_x000D_
+7 (495) 696-60-42_x000D_
+7 (495) 293-89-79_x000D_
+7 (495) 496-17-33_x000D_
+7 (495) 526-69-11_x000D_
+7 (495) 693-01-77_x000D_
+7 (495) 693-30-17_x000D_
+7 (495) 696-06-88_x000D_
+7 (495) 696-11-87_x000D_
+7 (495) 696-17-33_x000D_
+7 (495) 696-64-84_x000D_
+7 (495) 696-88-00_x000D_
+7 (495) 696-91-84_x000D_
+7 (963) 447-93-21_x000D_
+7 (495) 693-85-41_x000D_
+7 (495) 696-19-40_x000D_
+7 (495) 696-66-26_x000D_
+7 (3412) 41-41-37_x000D_
+7 (495) 696-11-05_x000D_
+7 (3452) 43-44-30_x000D_
+7 (3452) 69-11-05_x000D_
+7 (35168) 9-36-84_x000D_
+7 (3522) 29-52-94_x000D_
+7 (4212) 21-27-91_x000D_
+7 (4212) 27-07-41_x000D_
+7 (4212) 39-52-58_x000D_
+7 (4212) 39-55-83_x000D_
+7 (4212) 39-71-37_x000D_
+7 (4212) 39-73-28_x000D_
+7 (4212) 39-78-67_x000D_
+7 (49672) 6-35-12_x000D_
+7 (909) 958-61-20_x000D_
+7 (983) 536-65-91_x000D_
+7 (495) 577-84-87_x000D_
+7 (812) 494-02-62_x000D_
+7 (495) 498-01-82_x000D_
+7 (499) 263-86-35_x000D_
8 (800) 200-22-94_x000D_
+7 (499) 244-52-31_x000D_
+7 (48439) 9-65-98_x000D_
+7 (495) 498-32-34_x000D_
+7 (495) 111-11-11</v>
      </c>
      <c r="B44" s="11" t="str">
        <f>IF(COUNTIF(Дела!$A:$A,ROW()-1)&gt;0,VLOOKUP(ROW()-1,Дела!$A:$F,6,0),"")</f>
        <v>А40-34717/2024</v>
      </c>
      <c r="C44" s="11" t="str">
        <f>IF(COUNTIF(Дела!$A:$A,ROW()-1)&gt;0,VLOOKUP(ROW()-1,Дела!$A:$G,7,0),"")</f>
        <v>АО "НПК "Ниидар"</v>
      </c>
      <c r="D44" s="11" t="str">
        <f>IF(COUNTIF(Дела!$A:$A,ROW()-1)&gt;0,VLOOKUP(ROW()-1,Дела!$A:$I,9,0),"")</f>
        <v>Минобороны России</v>
      </c>
      <c r="E44" s="11" t="str">
        <f t="shared" si="0"/>
        <v>Сергей Кужугетович</v>
      </c>
      <c r="F44" s="12">
        <f>IF(COUNTIF(Дела!$A:$A,ROW()-1)&gt;0,VLOOKUP(ROW()-1,Дела!$A:$M,13,0),"")</f>
        <v>142571450</v>
      </c>
      <c r="G44" s="13">
        <f>IF(COUNTIF(Дела!$A:$A,ROW()-1)&gt;0,VLOOKUP(ROW()-1,Дела!$A:$N,14,0),"")</f>
        <v>45342</v>
      </c>
      <c r="H44" s="11" t="str">
        <f>IF(COUNTIF(Дела!$A:$A,ROW()-1)&gt;0,VLOOKUP(ROW()-1,Дела!$A:$K,11,0),"")</f>
        <v>Шойгу Сергей Кужугетович</v>
      </c>
    </row>
    <row r="45" spans="1:8" ht="60" x14ac:dyDescent="0.25">
      <c r="A45" s="11" t="str">
        <f>IF(COUNTIF(Дела!$A:$A,ROW()-1)&gt;0,VLOOKUP(ROW()-1,Дела!$A:$C,3,0),"")</f>
        <v>+7 (903) 748-89-01_x000D_
+7 (926) 109-71-67</v>
      </c>
      <c r="B45" s="11" t="str">
        <f>IF(COUNTIF(Дела!$A:$A,ROW()-1)&gt;0,VLOOKUP(ROW()-1,Дела!$A:$F,6,0),"")</f>
        <v>А40-34954/2024</v>
      </c>
      <c r="C45" s="11" t="str">
        <f>IF(COUNTIF(Дела!$A:$A,ROW()-1)&gt;0,VLOOKUP(ROW()-1,Дела!$A:$G,7,0),"")</f>
        <v>ООО "Топхит"</v>
      </c>
      <c r="D45" s="11" t="str">
        <f>IF(COUNTIF(Дела!$A:$A,ROW()-1)&gt;0,VLOOKUP(ROW()-1,Дела!$A:$I,9,0),"")</f>
        <v>ООО "Ол Стар Мьюзик"</v>
      </c>
      <c r="E45" s="11" t="str">
        <f t="shared" si="0"/>
        <v>Дмитрий Олегович</v>
      </c>
      <c r="F45" s="12">
        <f>IF(COUNTIF(Дела!$A:$A,ROW()-1)&gt;0,VLOOKUP(ROW()-1,Дела!$A:$M,13,0),"")</f>
        <v>974431.73</v>
      </c>
      <c r="G45" s="13">
        <f>IF(COUNTIF(Дела!$A:$A,ROW()-1)&gt;0,VLOOKUP(ROW()-1,Дела!$A:$N,14,0),"")</f>
        <v>45342</v>
      </c>
      <c r="H45" s="11" t="str">
        <f>IF(COUNTIF(Дела!$A:$A,ROW()-1)&gt;0,VLOOKUP(ROW()-1,Дела!$A:$K,11,0),"")</f>
        <v>Павлов Дмитрий Олегович</v>
      </c>
    </row>
    <row r="46" spans="1:8" ht="30" x14ac:dyDescent="0.25">
      <c r="A46" s="11" t="str">
        <f>IF(COUNTIF(Дела!$A:$A,ROW()-1)&gt;0,VLOOKUP(ROW()-1,Дела!$A:$C,3,0),"")</f>
        <v>+7 (965) 133-61-83</v>
      </c>
      <c r="B46" s="11" t="str">
        <f>IF(COUNTIF(Дела!$A:$A,ROW()-1)&gt;0,VLOOKUP(ROW()-1,Дела!$A:$F,6,0),"")</f>
        <v>А40-34678/2024</v>
      </c>
      <c r="C46" s="11" t="str">
        <f>IF(COUNTIF(Дела!$A:$A,ROW()-1)&gt;0,VLOOKUP(ROW()-1,Дела!$A:$G,7,0),"")</f>
        <v>ООО "Инвест Менеджмент"</v>
      </c>
      <c r="D46" s="11" t="str">
        <f>IF(COUNTIF(Дела!$A:$A,ROW()-1)&gt;0,VLOOKUP(ROW()-1,Дела!$A:$I,9,0),"")</f>
        <v>ООО "Айтишеринг"</v>
      </c>
      <c r="E46" s="11" t="str">
        <f t="shared" si="0"/>
        <v>Павел Николаевич</v>
      </c>
      <c r="F46" s="12">
        <f>IF(COUNTIF(Дела!$A:$A,ROW()-1)&gt;0,VLOOKUP(ROW()-1,Дела!$A:$M,13,0),"")</f>
        <v>543000</v>
      </c>
      <c r="G46" s="13">
        <f>IF(COUNTIF(Дела!$A:$A,ROW()-1)&gt;0,VLOOKUP(ROW()-1,Дела!$A:$N,14,0),"")</f>
        <v>45342</v>
      </c>
      <c r="H46" s="11" t="str">
        <f>IF(COUNTIF(Дела!$A:$A,ROW()-1)&gt;0,VLOOKUP(ROW()-1,Дела!$A:$K,11,0),"")</f>
        <v>Чуприна Павел Николаевич</v>
      </c>
    </row>
    <row r="47" spans="1:8" ht="45" x14ac:dyDescent="0.25">
      <c r="A47" s="11" t="str">
        <f>IF(COUNTIF(Дела!$A:$A,ROW()-1)&gt;0,VLOOKUP(ROW()-1,Дела!$A:$C,3,0),"")</f>
        <v>+7 (499) 330-97-55</v>
      </c>
      <c r="B47" s="11" t="str">
        <f>IF(COUNTIF(Дела!$A:$A,ROW()-1)&gt;0,VLOOKUP(ROW()-1,Дела!$A:$F,6,0),"")</f>
        <v>А40-34115/2024</v>
      </c>
      <c r="C47" s="11" t="str">
        <f>IF(COUNTIF(Дела!$A:$A,ROW()-1)&gt;0,VLOOKUP(ROW()-1,Дела!$A:$G,7,0),"")</f>
        <v>ИП Поливеев Алексей Анатольевич</v>
      </c>
      <c r="D47" s="11" t="str">
        <f>IF(COUNTIF(Дела!$A:$A,ROW()-1)&gt;0,VLOOKUP(ROW()-1,Дела!$A:$I,9,0),"")</f>
        <v>ООО "ЦПК Магистр"</v>
      </c>
      <c r="E47" s="11" t="str">
        <f t="shared" si="0"/>
        <v>Владимир Григорьевич</v>
      </c>
      <c r="F47" s="12">
        <f>IF(COUNTIF(Дела!$A:$A,ROW()-1)&gt;0,VLOOKUP(ROW()-1,Дела!$A:$M,13,0),"")</f>
        <v>635879.19999999995</v>
      </c>
      <c r="G47" s="13">
        <f>IF(COUNTIF(Дела!$A:$A,ROW()-1)&gt;0,VLOOKUP(ROW()-1,Дела!$A:$N,14,0),"")</f>
        <v>45342</v>
      </c>
      <c r="H47" s="11" t="str">
        <f>IF(COUNTIF(Дела!$A:$A,ROW()-1)&gt;0,VLOOKUP(ROW()-1,Дела!$A:$K,11,0),"")</f>
        <v>Козлов Владимир Григорьевич</v>
      </c>
    </row>
    <row r="48" spans="1:8" x14ac:dyDescent="0.25">
      <c r="A48" s="11">
        <f>IF(COUNTIF(Дела!$A:$A,ROW()-1)&gt;0,VLOOKUP(ROW()-1,Дела!$A:$C,3,0),"")</f>
        <v>0</v>
      </c>
      <c r="B48" s="11" t="str">
        <f>IF(COUNTIF(Дела!$A:$A,ROW()-1)&gt;0,VLOOKUP(ROW()-1,Дела!$A:$F,6,0),"")</f>
        <v>А40-34495/2024</v>
      </c>
      <c r="C48" s="11" t="str">
        <f>IF(COUNTIF(Дела!$A:$A,ROW()-1)&gt;0,VLOOKUP(ROW()-1,Дела!$A:$G,7,0),"")</f>
        <v>ООО "Алькор"</v>
      </c>
      <c r="D48" s="11">
        <f>IF(COUNTIF(Дела!$A:$A,ROW()-1)&gt;0,VLOOKUP(ROW()-1,Дела!$A:$I,9,0),"")</f>
        <v>0</v>
      </c>
      <c r="E48" s="11" t="e">
        <f t="shared" si="0"/>
        <v>#VALUE!</v>
      </c>
      <c r="F48" s="12">
        <f>IF(COUNTIF(Дела!$A:$A,ROW()-1)&gt;0,VLOOKUP(ROW()-1,Дела!$A:$M,13,0),"")</f>
        <v>747517183.63</v>
      </c>
      <c r="G48" s="13">
        <f>IF(COUNTIF(Дела!$A:$A,ROW()-1)&gt;0,VLOOKUP(ROW()-1,Дела!$A:$N,14,0),"")</f>
        <v>45342</v>
      </c>
      <c r="H48" s="11">
        <f>IF(COUNTIF(Дела!$A:$A,ROW()-1)&gt;0,VLOOKUP(ROW()-1,Дела!$A:$K,11,0),"")</f>
        <v>0</v>
      </c>
    </row>
    <row r="49" spans="1:8" ht="30" x14ac:dyDescent="0.25">
      <c r="A49" s="11" t="str">
        <f>IF(COUNTIF(Дела!$A:$A,ROW()-1)&gt;0,VLOOKUP(ROW()-1,Дела!$A:$C,3,0),"")</f>
        <v>+7 (495) 691-83-07</v>
      </c>
      <c r="B49" s="11" t="str">
        <f>IF(COUNTIF(Дела!$A:$A,ROW()-1)&gt;0,VLOOKUP(ROW()-1,Дела!$A:$F,6,0),"")</f>
        <v>А40-34320/2024</v>
      </c>
      <c r="C49" s="11" t="str">
        <f>IF(COUNTIF(Дела!$A:$A,ROW()-1)&gt;0,VLOOKUP(ROW()-1,Дела!$A:$G,7,0),"")</f>
        <v>ООО "Яндекс.Такси"</v>
      </c>
      <c r="D49" s="11" t="str">
        <f>IF(COUNTIF(Дела!$A:$A,ROW()-1)&gt;0,VLOOKUP(ROW()-1,Дела!$A:$I,9,0),"")</f>
        <v>ООО "Эрмитаж"</v>
      </c>
      <c r="E49" s="11" t="str">
        <f t="shared" si="0"/>
        <v>Башир Шейхмагомедович</v>
      </c>
      <c r="F49" s="12">
        <f>IF(COUNTIF(Дела!$A:$A,ROW()-1)&gt;0,VLOOKUP(ROW()-1,Дела!$A:$M,13,0),"")</f>
        <v>693847.38</v>
      </c>
      <c r="G49" s="13">
        <f>IF(COUNTIF(Дела!$A:$A,ROW()-1)&gt;0,VLOOKUP(ROW()-1,Дела!$A:$N,14,0),"")</f>
        <v>45342</v>
      </c>
      <c r="H49" s="11" t="str">
        <f>IF(COUNTIF(Дела!$A:$A,ROW()-1)&gt;0,VLOOKUP(ROW()-1,Дела!$A:$K,11,0),"")</f>
        <v>Далгатов Башир Шейхмагомедович</v>
      </c>
    </row>
    <row r="50" spans="1:8" ht="150" x14ac:dyDescent="0.25">
      <c r="A50" s="11" t="str">
        <f>IF(COUNTIF(Дела!$A:$A,ROW()-1)&gt;0,VLOOKUP(ROW()-1,Дела!$A:$C,3,0),"")</f>
        <v>+7 (964) 711-10-57_x000D_
+7 (499) 168-93-62_x000D_
+7 (499) 161-53-97_x000D_
+7 (499) 168-62-93_x000D_
+7 (964) 771-10-57</v>
      </c>
      <c r="B50" s="11" t="str">
        <f>IF(COUNTIF(Дела!$A:$A,ROW()-1)&gt;0,VLOOKUP(ROW()-1,Дела!$A:$F,6,0),"")</f>
        <v>А40-34308/2024</v>
      </c>
      <c r="C50" s="11" t="str">
        <f>IF(COUNTIF(Дела!$A:$A,ROW()-1)&gt;0,VLOOKUP(ROW()-1,Дела!$A:$G,7,0),"")</f>
        <v>АО "Мосводоканал"</v>
      </c>
      <c r="D50" s="11" t="str">
        <f>IF(COUNTIF(Дела!$A:$A,ROW()-1)&gt;0,VLOOKUP(ROW()-1,Дела!$A:$I,9,0),"")</f>
        <v>ООО "УК "Преображенское"</v>
      </c>
      <c r="E50" s="11" t="str">
        <f t="shared" si="0"/>
        <v>Роман Владимирович</v>
      </c>
      <c r="F50" s="12">
        <f>IF(COUNTIF(Дела!$A:$A,ROW()-1)&gt;0,VLOOKUP(ROW()-1,Дела!$A:$M,13,0),"")</f>
        <v>1807856.16</v>
      </c>
      <c r="G50" s="13">
        <f>IF(COUNTIF(Дела!$A:$A,ROW()-1)&gt;0,VLOOKUP(ROW()-1,Дела!$A:$N,14,0),"")</f>
        <v>45342</v>
      </c>
      <c r="H50" s="11" t="str">
        <f>IF(COUNTIF(Дела!$A:$A,ROW()-1)&gt;0,VLOOKUP(ROW()-1,Дела!$A:$K,11,0),"")</f>
        <v>Посохов Роман Владимирович</v>
      </c>
    </row>
    <row r="51" spans="1:8" ht="60" x14ac:dyDescent="0.25">
      <c r="A51" s="11" t="str">
        <f>IF(COUNTIF(Дела!$A:$A,ROW()-1)&gt;0,VLOOKUP(ROW()-1,Дела!$A:$C,3,0),"")</f>
        <v>+7 (383) 222-09-04_x000D_
+7 (923) 104-91-19</v>
      </c>
      <c r="B51" s="11" t="str">
        <f>IF(COUNTIF(Дела!$A:$A,ROW()-1)&gt;0,VLOOKUP(ROW()-1,Дела!$A:$F,6,0),"")</f>
        <v>А40-34334/2024</v>
      </c>
      <c r="C51" s="11" t="str">
        <f>IF(COUNTIF(Дела!$A:$A,ROW()-1)&gt;0,VLOOKUP(ROW()-1,Дела!$A:$G,7,0),"")</f>
        <v>ООО "Яндекс.Такси"</v>
      </c>
      <c r="D51" s="11" t="str">
        <f>IF(COUNTIF(Дела!$A:$A,ROW()-1)&gt;0,VLOOKUP(ROW()-1,Дела!$A:$I,9,0),"")</f>
        <v>ООО "Кузина"</v>
      </c>
      <c r="E51" s="11" t="str">
        <f t="shared" si="0"/>
        <v>Евгения Александровна</v>
      </c>
      <c r="F51" s="12">
        <f>IF(COUNTIF(Дела!$A:$A,ROW()-1)&gt;0,VLOOKUP(ROW()-1,Дела!$A:$M,13,0),"")</f>
        <v>3736263.01</v>
      </c>
      <c r="G51" s="13">
        <f>IF(COUNTIF(Дела!$A:$A,ROW()-1)&gt;0,VLOOKUP(ROW()-1,Дела!$A:$N,14,0),"")</f>
        <v>45342</v>
      </c>
      <c r="H51" s="11" t="str">
        <f>IF(COUNTIF(Дела!$A:$A,ROW()-1)&gt;0,VLOOKUP(ROW()-1,Дела!$A:$K,11,0),"")</f>
        <v>Головкова Евгения Александровна</v>
      </c>
    </row>
    <row r="52" spans="1:8" ht="30" x14ac:dyDescent="0.25">
      <c r="A52" s="11" t="str">
        <f>IF(COUNTIF(Дела!$A:$A,ROW()-1)&gt;0,VLOOKUP(ROW()-1,Дела!$A:$C,3,0),"")</f>
        <v>+7 (495) 481-11-46</v>
      </c>
      <c r="B52" s="11" t="str">
        <f>IF(COUNTIF(Дела!$A:$A,ROW()-1)&gt;0,VLOOKUP(ROW()-1,Дела!$A:$F,6,0),"")</f>
        <v>А40-34231/2024</v>
      </c>
      <c r="C52" s="11" t="str">
        <f>IF(COUNTIF(Дела!$A:$A,ROW()-1)&gt;0,VLOOKUP(ROW()-1,Дела!$A:$G,7,0),"")</f>
        <v>АО "Мосводоканал"</v>
      </c>
      <c r="D52" s="11" t="str">
        <f>IF(COUNTIF(Дела!$A:$A,ROW()-1)&gt;0,VLOOKUP(ROW()-1,Дела!$A:$I,9,0),"")</f>
        <v>ЖСК "Дегунино-6"</v>
      </c>
      <c r="E52" s="11" t="str">
        <f t="shared" si="0"/>
        <v>Геннадий Михайлович</v>
      </c>
      <c r="F52" s="12">
        <f>IF(COUNTIF(Дела!$A:$A,ROW()-1)&gt;0,VLOOKUP(ROW()-1,Дела!$A:$M,13,0),"")</f>
        <v>1156875.97</v>
      </c>
      <c r="G52" s="13">
        <f>IF(COUNTIF(Дела!$A:$A,ROW()-1)&gt;0,VLOOKUP(ROW()-1,Дела!$A:$N,14,0),"")</f>
        <v>45342</v>
      </c>
      <c r="H52" s="11" t="str">
        <f>IF(COUNTIF(Дела!$A:$A,ROW()-1)&gt;0,VLOOKUP(ROW()-1,Дела!$A:$K,11,0),"")</f>
        <v>Осипов Геннадий Михайлович</v>
      </c>
    </row>
    <row r="53" spans="1:8" ht="60" x14ac:dyDescent="0.25">
      <c r="A53" s="11" t="str">
        <f>IF(COUNTIF(Дела!$A:$A,ROW()-1)&gt;0,VLOOKUP(ROW()-1,Дела!$A:$C,3,0),"")</f>
        <v>+7 (985) 111-52-77_x000D_
+7 (985) 111-73-55</v>
      </c>
      <c r="B53" s="11" t="str">
        <f>IF(COUNTIF(Дела!$A:$A,ROW()-1)&gt;0,VLOOKUP(ROW()-1,Дела!$A:$F,6,0),"")</f>
        <v>А40-34736/2024</v>
      </c>
      <c r="C53" s="11" t="str">
        <f>IF(COUNTIF(Дела!$A:$A,ROW()-1)&gt;0,VLOOKUP(ROW()-1,Дела!$A:$G,7,0),"")</f>
        <v>ООО "Нефтьсервис"</v>
      </c>
      <c r="D53" s="11" t="str">
        <f>IF(COUNTIF(Дела!$A:$A,ROW()-1)&gt;0,VLOOKUP(ROW()-1,Дела!$A:$I,9,0),"")</f>
        <v>ООО "Сиарсиси Рус"</v>
      </c>
      <c r="E53" s="11" t="str">
        <f t="shared" si="0"/>
        <v>Цзяшу</v>
      </c>
      <c r="F53" s="12">
        <f>IF(COUNTIF(Дела!$A:$A,ROW()-1)&gt;0,VLOOKUP(ROW()-1,Дела!$A:$M,13,0),"")</f>
        <v>11572328.699999999</v>
      </c>
      <c r="G53" s="13">
        <f>IF(COUNTIF(Дела!$A:$A,ROW()-1)&gt;0,VLOOKUP(ROW()-1,Дела!$A:$N,14,0),"")</f>
        <v>45342</v>
      </c>
      <c r="H53" s="11" t="str">
        <f>IF(COUNTIF(Дела!$A:$A,ROW()-1)&gt;0,VLOOKUP(ROW()-1,Дела!$A:$K,11,0),"")</f>
        <v>Чжао Цзяшу</v>
      </c>
    </row>
    <row r="54" spans="1:8" ht="30" x14ac:dyDescent="0.25">
      <c r="A54" s="11">
        <f>IF(COUNTIF(Дела!$A:$A,ROW()-1)&gt;0,VLOOKUP(ROW()-1,Дела!$A:$C,3,0),"")</f>
        <v>0</v>
      </c>
      <c r="B54" s="11" t="str">
        <f>IF(COUNTIF(Дела!$A:$A,ROW()-1)&gt;0,VLOOKUP(ROW()-1,Дела!$A:$F,6,0),"")</f>
        <v>А40-36144/2024</v>
      </c>
      <c r="C54" s="11" t="str">
        <f>IF(COUNTIF(Дела!$A:$A,ROW()-1)&gt;0,VLOOKUP(ROW()-1,Дела!$A:$G,7,0),"")</f>
        <v>ООО "Орион"</v>
      </c>
      <c r="D54" s="11" t="str">
        <f>IF(COUNTIF(Дела!$A:$A,ROW()-1)&gt;0,VLOOKUP(ROW()-1,Дела!$A:$I,9,0),"")</f>
        <v>ООО "Гемолайф"</v>
      </c>
      <c r="E54" s="11" t="str">
        <f t="shared" si="0"/>
        <v>Марианна Сергеевна</v>
      </c>
      <c r="F54" s="12">
        <f>IF(COUNTIF(Дела!$A:$A,ROW()-1)&gt;0,VLOOKUP(ROW()-1,Дела!$A:$M,13,0),"")</f>
        <v>1087141.07</v>
      </c>
      <c r="G54" s="13">
        <f>IF(COUNTIF(Дела!$A:$A,ROW()-1)&gt;0,VLOOKUP(ROW()-1,Дела!$A:$N,14,0),"")</f>
        <v>45343</v>
      </c>
      <c r="H54" s="11" t="str">
        <f>IF(COUNTIF(Дела!$A:$A,ROW()-1)&gt;0,VLOOKUP(ROW()-1,Дела!$A:$K,11,0),"")</f>
        <v>Смирнова Марианна Сергеевна</v>
      </c>
    </row>
    <row r="55" spans="1:8" ht="30" x14ac:dyDescent="0.25">
      <c r="A55" s="11">
        <f>IF(COUNTIF(Дела!$A:$A,ROW()-1)&gt;0,VLOOKUP(ROW()-1,Дела!$A:$C,3,0),"")</f>
        <v>0</v>
      </c>
      <c r="B55" s="11" t="str">
        <f>IF(COUNTIF(Дела!$A:$A,ROW()-1)&gt;0,VLOOKUP(ROW()-1,Дела!$A:$F,6,0),"")</f>
        <v>А40-36122/2024</v>
      </c>
      <c r="C55" s="11" t="str">
        <f>IF(COUNTIF(Дела!$A:$A,ROW()-1)&gt;0,VLOOKUP(ROW()-1,Дела!$A:$G,7,0),"")</f>
        <v>ООО "ТДМ-Комплект"</v>
      </c>
      <c r="D55" s="11" t="str">
        <f>IF(COUNTIF(Дела!$A:$A,ROW()-1)&gt;0,VLOOKUP(ROW()-1,Дела!$A:$I,9,0),"")</f>
        <v>ООО "Новая Высота"</v>
      </c>
      <c r="E55" s="11" t="str">
        <f t="shared" si="0"/>
        <v>Леван Зурабович</v>
      </c>
      <c r="F55" s="12">
        <f>IF(COUNTIF(Дела!$A:$A,ROW()-1)&gt;0,VLOOKUP(ROW()-1,Дела!$A:$M,13,0),"")</f>
        <v>925813.08</v>
      </c>
      <c r="G55" s="13">
        <f>IF(COUNTIF(Дела!$A:$A,ROW()-1)&gt;0,VLOOKUP(ROW()-1,Дела!$A:$N,14,0),"")</f>
        <v>45343</v>
      </c>
      <c r="H55" s="11" t="str">
        <f>IF(COUNTIF(Дела!$A:$A,ROW()-1)&gt;0,VLOOKUP(ROW()-1,Дела!$A:$K,11,0),"")</f>
        <v>Каландия Леван Зурабович</v>
      </c>
    </row>
    <row r="56" spans="1:8" ht="315" x14ac:dyDescent="0.25">
      <c r="A56" s="11" t="str">
        <f>IF(COUNTIF(Дела!$A:$A,ROW()-1)&gt;0,VLOOKUP(ROW()-1,Дела!$A:$C,3,0),"")</f>
        <v>+7 (365) 696-12-05_x000D_
+7 (365) 696-13-04_x000D_
+7 (978) 731-94-70_x000D_
+7 (978) 855-54-76_x000D_
+7 (978) 755-02-42_x000D_
+7 (365) 696-01-69_x000D_
+7 (365) 699-30-35_x000D_
+7 (978) 793-48-74_x000D_
+7 (919) 875-81-01_x000D_
+7 (978) 687-77-51_x000D_
8 (800) 550-54-76</v>
      </c>
      <c r="B56" s="11" t="str">
        <f>IF(COUNTIF(Дела!$A:$A,ROW()-1)&gt;0,VLOOKUP(ROW()-1,Дела!$A:$F,6,0),"")</f>
        <v>А40-36093/2024</v>
      </c>
      <c r="C56" s="11" t="str">
        <f>IF(COUNTIF(Дела!$A:$A,ROW()-1)&gt;0,VLOOKUP(ROW()-1,Дела!$A:$G,7,0),"")</f>
        <v>ГКУ "Дирекция ОДОТСЗН Г. Москвы"</v>
      </c>
      <c r="D56" s="11" t="str">
        <f>IF(COUNTIF(Дела!$A:$A,ROW()-1)&gt;0,VLOOKUP(ROW()-1,Дела!$A:$I,9,0),"")</f>
        <v>МУП "Евпатория-Крым-Курорт"</v>
      </c>
      <c r="E56" s="11" t="str">
        <f t="shared" si="0"/>
        <v>Светлана Викторовна</v>
      </c>
      <c r="F56" s="12">
        <f>IF(COUNTIF(Дела!$A:$A,ROW()-1)&gt;0,VLOOKUP(ROW()-1,Дела!$A:$M,13,0),"")</f>
        <v>657603</v>
      </c>
      <c r="G56" s="13">
        <f>IF(COUNTIF(Дела!$A:$A,ROW()-1)&gt;0,VLOOKUP(ROW()-1,Дела!$A:$N,14,0),"")</f>
        <v>45343</v>
      </c>
      <c r="H56" s="11" t="str">
        <f>IF(COUNTIF(Дела!$A:$A,ROW()-1)&gt;0,VLOOKUP(ROW()-1,Дела!$A:$K,11,0),"")</f>
        <v>Павицкая Светлана Викторовна</v>
      </c>
    </row>
    <row r="57" spans="1:8" ht="30" x14ac:dyDescent="0.25">
      <c r="A57" s="11" t="str">
        <f>IF(COUNTIF(Дела!$A:$A,ROW()-1)&gt;0,VLOOKUP(ROW()-1,Дела!$A:$C,3,0),"")</f>
        <v>+7 (905) 506-16-92</v>
      </c>
      <c r="B57" s="11" t="str">
        <f>IF(COUNTIF(Дела!$A:$A,ROW()-1)&gt;0,VLOOKUP(ROW()-1,Дела!$A:$F,6,0),"")</f>
        <v>А40-36082/2024</v>
      </c>
      <c r="C57" s="11" t="str">
        <f>IF(COUNTIF(Дела!$A:$A,ROW()-1)&gt;0,VLOOKUP(ROW()-1,Дела!$A:$G,7,0),"")</f>
        <v>ООО "Верус"</v>
      </c>
      <c r="D57" s="11" t="str">
        <f>IF(COUNTIF(Дела!$A:$A,ROW()-1)&gt;0,VLOOKUP(ROW()-1,Дела!$A:$I,9,0),"")</f>
        <v>ООО "СВ Логистика"</v>
      </c>
      <c r="E57" s="11" t="str">
        <f t="shared" si="0"/>
        <v>Алексей Владимирович</v>
      </c>
      <c r="F57" s="12">
        <f>IF(COUNTIF(Дела!$A:$A,ROW()-1)&gt;0,VLOOKUP(ROW()-1,Дела!$A:$M,13,0),"")</f>
        <v>2756391.25</v>
      </c>
      <c r="G57" s="13">
        <f>IF(COUNTIF(Дела!$A:$A,ROW()-1)&gt;0,VLOOKUP(ROW()-1,Дела!$A:$N,14,0),"")</f>
        <v>45343</v>
      </c>
      <c r="H57" s="11" t="str">
        <f>IF(COUNTIF(Дела!$A:$A,ROW()-1)&gt;0,VLOOKUP(ROW()-1,Дела!$A:$K,11,0),"")</f>
        <v>Демьяненко Алексей Владимирович</v>
      </c>
    </row>
    <row r="58" spans="1:8" ht="120" x14ac:dyDescent="0.25">
      <c r="A58" s="11" t="str">
        <f>IF(COUNTIF(Дела!$A:$A,ROW()-1)&gt;0,VLOOKUP(ROW()-1,Дела!$A:$C,3,0),"")</f>
        <v>+7 (84862) 4-70-44, доб 9_x000D_
+7 (84862) 4-99-90, доб 9_x000D_
+7 (4862) 47-04-49_x000D_
+7 (4862) 49-99-09</v>
      </c>
      <c r="B58" s="11" t="str">
        <f>IF(COUNTIF(Дела!$A:$A,ROW()-1)&gt;0,VLOOKUP(ROW()-1,Дела!$A:$F,6,0),"")</f>
        <v>А40-36037/2024</v>
      </c>
      <c r="C58" s="11" t="str">
        <f>IF(COUNTIF(Дела!$A:$A,ROW()-1)&gt;0,VLOOKUP(ROW()-1,Дела!$A:$G,7,0),"")</f>
        <v>ООО "А Групп"</v>
      </c>
      <c r="D58" s="11" t="str">
        <f>IF(COUNTIF(Дела!$A:$A,ROW()-1)&gt;0,VLOOKUP(ROW()-1,Дела!$A:$I,9,0),"")</f>
        <v>ООО "Фабер"</v>
      </c>
      <c r="E58" s="11" t="str">
        <f t="shared" si="0"/>
        <v>Алексей Николаевич</v>
      </c>
      <c r="F58" s="12">
        <f>IF(COUNTIF(Дела!$A:$A,ROW()-1)&gt;0,VLOOKUP(ROW()-1,Дела!$A:$M,13,0),"")</f>
        <v>1977846.85</v>
      </c>
      <c r="G58" s="13">
        <f>IF(COUNTIF(Дела!$A:$A,ROW()-1)&gt;0,VLOOKUP(ROW()-1,Дела!$A:$N,14,0),"")</f>
        <v>45343</v>
      </c>
      <c r="H58" s="11" t="str">
        <f>IF(COUNTIF(Дела!$A:$A,ROW()-1)&gt;0,VLOOKUP(ROW()-1,Дела!$A:$K,11,0),"")</f>
        <v>Медведев Алексей Николаевич</v>
      </c>
    </row>
    <row r="59" spans="1:8" ht="90" x14ac:dyDescent="0.25">
      <c r="A59" s="11" t="str">
        <f>IF(COUNTIF(Дела!$A:$A,ROW()-1)&gt;0,VLOOKUP(ROW()-1,Дела!$A:$C,3,0),"")</f>
        <v>+7 (495) 911-02-19_x000D_
+7 (925) 507-45-07_x000D_
+7 (495) 911-02-10</v>
      </c>
      <c r="B59" s="11" t="str">
        <f>IF(COUNTIF(Дела!$A:$A,ROW()-1)&gt;0,VLOOKUP(ROW()-1,Дела!$A:$F,6,0),"")</f>
        <v>А40-36009/2024</v>
      </c>
      <c r="C59" s="11" t="str">
        <f>IF(COUNTIF(Дела!$A:$A,ROW()-1)&gt;0,VLOOKUP(ROW()-1,Дела!$A:$G,7,0),"")</f>
        <v>Департамент городского Имущества Города Москвы</v>
      </c>
      <c r="D59" s="11" t="str">
        <f>IF(COUNTIF(Дела!$A:$A,ROW()-1)&gt;0,VLOOKUP(ROW()-1,Дела!$A:$I,9,0),"")</f>
        <v>ЗАО Фирма "Гарни"</v>
      </c>
      <c r="E59" s="11" t="str">
        <f t="shared" si="0"/>
        <v>Дмитрий Семенович</v>
      </c>
      <c r="F59" s="12">
        <f>IF(COUNTIF(Дела!$A:$A,ROW()-1)&gt;0,VLOOKUP(ROW()-1,Дела!$A:$M,13,0),"")</f>
        <v>3763175.71</v>
      </c>
      <c r="G59" s="13">
        <f>IF(COUNTIF(Дела!$A:$A,ROW()-1)&gt;0,VLOOKUP(ROW()-1,Дела!$A:$N,14,0),"")</f>
        <v>45343</v>
      </c>
      <c r="H59" s="11" t="str">
        <f>IF(COUNTIF(Дела!$A:$A,ROW()-1)&gt;0,VLOOKUP(ROW()-1,Дела!$A:$K,11,0),"")</f>
        <v>Кветный Дмитрий Семенович</v>
      </c>
    </row>
    <row r="60" spans="1:8" ht="45" x14ac:dyDescent="0.25">
      <c r="A60" s="11">
        <f>IF(COUNTIF(Дела!$A:$A,ROW()-1)&gt;0,VLOOKUP(ROW()-1,Дела!$A:$C,3,0),"")</f>
        <v>0</v>
      </c>
      <c r="B60" s="11" t="str">
        <f>IF(COUNTIF(Дела!$A:$A,ROW()-1)&gt;0,VLOOKUP(ROW()-1,Дела!$A:$F,6,0),"")</f>
        <v>А40-35864/2024</v>
      </c>
      <c r="C60" s="11" t="str">
        <f>IF(COUNTIF(Дела!$A:$A,ROW()-1)&gt;0,VLOOKUP(ROW()-1,Дела!$A:$G,7,0),"")</f>
        <v>ООО "Всеинструменты.Ру"</v>
      </c>
      <c r="D60" s="11" t="str">
        <f>IF(COUNTIF(Дела!$A:$A,ROW()-1)&gt;0,VLOOKUP(ROW()-1,Дела!$A:$I,9,0),"")</f>
        <v>ООО "Озгюн-Строй"</v>
      </c>
      <c r="E60" s="11" t="str">
        <f t="shared" si="0"/>
        <v>Сонер</v>
      </c>
      <c r="F60" s="12">
        <f>IF(COUNTIF(Дела!$A:$A,ROW()-1)&gt;0,VLOOKUP(ROW()-1,Дела!$A:$M,13,0),"")</f>
        <v>2105308.7400000002</v>
      </c>
      <c r="G60" s="13">
        <f>IF(COUNTIF(Дела!$A:$A,ROW()-1)&gt;0,VLOOKUP(ROW()-1,Дела!$A:$N,14,0),"")</f>
        <v>45343</v>
      </c>
      <c r="H60" s="11" t="str">
        <f>IF(COUNTIF(Дела!$A:$A,ROW()-1)&gt;0,VLOOKUP(ROW()-1,Дела!$A:$K,11,0),"")</f>
        <v>Каракуллукчу Сонер</v>
      </c>
    </row>
    <row r="61" spans="1:8" ht="409.5" x14ac:dyDescent="0.25">
      <c r="A61" s="11" t="str">
        <f>IF(COUNTIF(Дела!$A:$A,ROW()-1)&gt;0,VLOOKUP(ROW()-1,Дела!$A:$C,3,0),"")</f>
        <v>+7 (495) 505-97-33_x000D_
+7 (495) 361-84-14_x000D_
+7 (495) 505-89-89_x000D_
+7 (495) 510-39-70_x000D_
+7 (495) 677-06-12_x000D_
+7 (495) 817-62-38_x000D_
+7 (499) 505-89-89_x000D_
+7 (499) 510-39-70_x000D_
8 (800) 505-89-89_x000D_
+7 (495) 608-00-59_x000D_
+7 (495) 933-42-84_x000D_
8 (800) 234-22-22_x000D_
+7 (916) 192-69-80_x000D_
+7 (495) 716-39-18_x000D_
+7 (495) 716-39-72</v>
      </c>
      <c r="B61" s="11" t="str">
        <f>IF(COUNTIF(Дела!$A:$A,ROW()-1)&gt;0,VLOOKUP(ROW()-1,Дела!$A:$F,6,0),"")</f>
        <v>А40-35805/2024</v>
      </c>
      <c r="C61" s="11" t="str">
        <f>IF(COUNTIF(Дела!$A:$A,ROW()-1)&gt;0,VLOOKUP(ROW()-1,Дела!$A:$G,7,0),"")</f>
        <v>ООО "Хартия"</v>
      </c>
      <c r="D61" s="11" t="str">
        <f>IF(COUNTIF(Дела!$A:$A,ROW()-1)&gt;0,VLOOKUP(ROW()-1,Дела!$A:$I,9,0),"")</f>
        <v>ООО "Пик-Комфорт"</v>
      </c>
      <c r="E61" s="11" t="str">
        <f t="shared" si="0"/>
        <v>Илья Владимирович</v>
      </c>
      <c r="F61" s="12">
        <f>IF(COUNTIF(Дела!$A:$A,ROW()-1)&gt;0,VLOOKUP(ROW()-1,Дела!$A:$M,13,0),"")</f>
        <v>11599204.52</v>
      </c>
      <c r="G61" s="13">
        <f>IF(COUNTIF(Дела!$A:$A,ROW()-1)&gt;0,VLOOKUP(ROW()-1,Дела!$A:$N,14,0),"")</f>
        <v>45343</v>
      </c>
      <c r="H61" s="11" t="str">
        <f>IF(COUNTIF(Дела!$A:$A,ROW()-1)&gt;0,VLOOKUP(ROW()-1,Дела!$A:$K,11,0),"")</f>
        <v>Розанов Илья Владимирович</v>
      </c>
    </row>
    <row r="62" spans="1:8" ht="30" x14ac:dyDescent="0.25">
      <c r="A62" s="11">
        <f>IF(COUNTIF(Дела!$A:$A,ROW()-1)&gt;0,VLOOKUP(ROW()-1,Дела!$A:$C,3,0),"")</f>
        <v>0</v>
      </c>
      <c r="B62" s="11" t="str">
        <f>IF(COUNTIF(Дела!$A:$A,ROW()-1)&gt;0,VLOOKUP(ROW()-1,Дела!$A:$F,6,0),"")</f>
        <v>А40-35708/2024</v>
      </c>
      <c r="C62" s="11" t="str">
        <f>IF(COUNTIF(Дела!$A:$A,ROW()-1)&gt;0,VLOOKUP(ROW()-1,Дела!$A:$G,7,0),"")</f>
        <v>АО "Альфа-Банк"</v>
      </c>
      <c r="D62" s="11" t="str">
        <f>IF(COUNTIF(Дела!$A:$A,ROW()-1)&gt;0,VLOOKUP(ROW()-1,Дела!$A:$I,9,0),"")</f>
        <v>ИП Качанов Сергей Геннадьевич</v>
      </c>
      <c r="E62" s="11" t="str">
        <f t="shared" si="0"/>
        <v>Сергей Геннадьевич</v>
      </c>
      <c r="F62" s="12">
        <f>IF(COUNTIF(Дела!$A:$A,ROW()-1)&gt;0,VLOOKUP(ROW()-1,Дела!$A:$M,13,0),"")</f>
        <v>2880954.34</v>
      </c>
      <c r="G62" s="13">
        <f>IF(COUNTIF(Дела!$A:$A,ROW()-1)&gt;0,VLOOKUP(ROW()-1,Дела!$A:$N,14,0),"")</f>
        <v>45343</v>
      </c>
      <c r="H62" s="11" t="str">
        <f>IF(COUNTIF(Дела!$A:$A,ROW()-1)&gt;0,VLOOKUP(ROW()-1,Дела!$A:$K,11,0),"")</f>
        <v>Качанов Сергей Геннадьевич</v>
      </c>
    </row>
    <row r="63" spans="1:8" ht="45" x14ac:dyDescent="0.25">
      <c r="A63" s="11">
        <f>IF(COUNTIF(Дела!$A:$A,ROW()-1)&gt;0,VLOOKUP(ROW()-1,Дела!$A:$C,3,0),"")</f>
        <v>0</v>
      </c>
      <c r="B63" s="11" t="str">
        <f>IF(COUNTIF(Дела!$A:$A,ROW()-1)&gt;0,VLOOKUP(ROW()-1,Дела!$A:$F,6,0),"")</f>
        <v>А40-35723/2024</v>
      </c>
      <c r="C63" s="11" t="str">
        <f>IF(COUNTIF(Дела!$A:$A,ROW()-1)&gt;0,VLOOKUP(ROW()-1,Дела!$A:$G,7,0),"")</f>
        <v>АО "Альфа-Банк"</v>
      </c>
      <c r="D63" s="11" t="str">
        <f>IF(COUNTIF(Дела!$A:$A,ROW()-1)&gt;0,VLOOKUP(ROW()-1,Дела!$A:$I,9,0),"")</f>
        <v>ИП Баклагин Дмитрий Александрович</v>
      </c>
      <c r="E63" s="11" t="str">
        <f t="shared" si="0"/>
        <v>Дмитрий Александрович</v>
      </c>
      <c r="F63" s="12">
        <f>IF(COUNTIF(Дела!$A:$A,ROW()-1)&gt;0,VLOOKUP(ROW()-1,Дела!$A:$M,13,0),"")</f>
        <v>1934970.27</v>
      </c>
      <c r="G63" s="13">
        <f>IF(COUNTIF(Дела!$A:$A,ROW()-1)&gt;0,VLOOKUP(ROW()-1,Дела!$A:$N,14,0),"")</f>
        <v>45343</v>
      </c>
      <c r="H63" s="11" t="str">
        <f>IF(COUNTIF(Дела!$A:$A,ROW()-1)&gt;0,VLOOKUP(ROW()-1,Дела!$A:$K,11,0),"")</f>
        <v>Баклагин Дмитрий Александрович</v>
      </c>
    </row>
    <row r="64" spans="1:8" ht="409.5" x14ac:dyDescent="0.25">
      <c r="A64" s="11" t="str">
        <f>IF(COUNTIF(Дела!$A:$A,ROW()-1)&gt;0,VLOOKUP(ROW()-1,Дела!$A:$C,3,0),"")</f>
        <v>+7 (499) 126-66-08_x000D_
+7 (495) 942-71-71_x000D_
+7 (495) 236-13-15_x000D_
+7 (499) 550-00-55_x000D_
+7 (495) 223-40-25, доб 607_x000D_
+7 (495) 987-31-66_x000D_
+7 (495) 727-25-82_x000D_
+7 (495) 727-24-24, доб 5834_x000D_
+7 (495) 223-40-20, доб 5662_x000D_
+7 (495) 727-24-75_x000D_
+7 (495) 983-06-78_x000D_
+7 (495) 758-68-69_x000D_
+7 (495) 727-25-37_x000D_
+7 (495) 223-40-20, доб 5607_x000D_
+7 (495) 942-95-95_x000D_
+7 (495) 942-80-80_x000D_
+7 (495) 948-62-80_x000D_
+7 (495) 983-06-71_x000D_
+7 (495) 222-22-22, доб 2_x000D_
+7 (495) 727-25-24_x000D_
+7 (495) 727-25-23_x000D_
+7 (495) 727-26-26_x000D_
+7 (495) 987-42-33, доб 4177_x000D_
+7 (495) 223-40-20_x000D_
+7 (495) 727-24-24_x000D_
+7 (495) 727-26-25_x000D_
+7 (495) 727-25-98_x000D_
+7 (495) 000-00-00_x000D_
+7 (495) 727-80-80_x000D_
+7 (495) 223-40-20, доб 5657_x000D_
+7 (495) 228-12-23_x000D_
+7 (495) 126-26-35</v>
      </c>
      <c r="B64" s="11" t="str">
        <f>IF(COUNTIF(Дела!$A:$A,ROW()-1)&gt;0,VLOOKUP(ROW()-1,Дела!$A:$F,6,0),"")</f>
        <v>А40-35750/2024</v>
      </c>
      <c r="C64" s="11" t="str">
        <f>IF(COUNTIF(Дела!$A:$A,ROW()-1)&gt;0,VLOOKUP(ROW()-1,Дела!$A:$G,7,0),"")</f>
        <v>ООО "Экомир"</v>
      </c>
      <c r="D64" s="11" t="str">
        <f>IF(COUNTIF(Дела!$A:$A,ROW()-1)&gt;0,VLOOKUP(ROW()-1,Дела!$A:$I,9,0),"")</f>
        <v>ООО "Крокус"</v>
      </c>
      <c r="E64" s="11" t="str">
        <f t="shared" si="0"/>
        <v>Марина Николаевна</v>
      </c>
      <c r="F64" s="12">
        <f>IF(COUNTIF(Дела!$A:$A,ROW()-1)&gt;0,VLOOKUP(ROW()-1,Дела!$A:$M,13,0),"")</f>
        <v>1783007.35</v>
      </c>
      <c r="G64" s="13">
        <f>IF(COUNTIF(Дела!$A:$A,ROW()-1)&gt;0,VLOOKUP(ROW()-1,Дела!$A:$N,14,0),"")</f>
        <v>45343</v>
      </c>
      <c r="H64" s="11" t="str">
        <f>IF(COUNTIF(Дела!$A:$A,ROW()-1)&gt;0,VLOOKUP(ROW()-1,Дела!$A:$K,11,0),"")</f>
        <v>Мросвирина Марина Николаевна</v>
      </c>
    </row>
    <row r="65" spans="1:8" ht="45" x14ac:dyDescent="0.25">
      <c r="A65" s="11" t="str">
        <f>IF(COUNTIF(Дела!$A:$A,ROW()-1)&gt;0,VLOOKUP(ROW()-1,Дела!$A:$C,3,0),"")</f>
        <v>+7 (495) 540-51-10</v>
      </c>
      <c r="B65" s="11" t="str">
        <f>IF(COUNTIF(Дела!$A:$A,ROW()-1)&gt;0,VLOOKUP(ROW()-1,Дела!$A:$F,6,0),"")</f>
        <v>А40-35703/2024</v>
      </c>
      <c r="C65" s="11" t="str">
        <f>IF(COUNTIF(Дела!$A:$A,ROW()-1)&gt;0,VLOOKUP(ROW()-1,Дела!$A:$G,7,0),"")</f>
        <v>ООО "Новая Энергетика"</v>
      </c>
      <c r="D65" s="11" t="str">
        <f>IF(COUNTIF(Дела!$A:$A,ROW()-1)&gt;0,VLOOKUP(ROW()-1,Дела!$A:$I,9,0),"")</f>
        <v>АО "Боровицкое Страховое Общество"</v>
      </c>
      <c r="E65" s="11" t="str">
        <f t="shared" si="0"/>
        <v>Константин Валерьевич</v>
      </c>
      <c r="F65" s="12">
        <f>IF(COUNTIF(Дела!$A:$A,ROW()-1)&gt;0,VLOOKUP(ROW()-1,Дела!$A:$M,13,0),"")</f>
        <v>54063904</v>
      </c>
      <c r="G65" s="13">
        <f>IF(COUNTIF(Дела!$A:$A,ROW()-1)&gt;0,VLOOKUP(ROW()-1,Дела!$A:$N,14,0),"")</f>
        <v>45343</v>
      </c>
      <c r="H65" s="11" t="str">
        <f>IF(COUNTIF(Дела!$A:$A,ROW()-1)&gt;0,VLOOKUP(ROW()-1,Дела!$A:$K,11,0),"")</f>
        <v>Шамшев Константин Валерьевич</v>
      </c>
    </row>
    <row r="66" spans="1:8" ht="240" x14ac:dyDescent="0.25">
      <c r="A66" s="11" t="str">
        <f>IF(COUNTIF(Дела!$A:$A,ROW()-1)&gt;0,VLOOKUP(ROW()-1,Дела!$A:$C,3,0),"")</f>
        <v>+7 (495) 628-47-48_x000D_
+7 (495) 628-62-45_x000D_
+7 (495) 625-55-49_x000D_
+7 (495) 628-57-93_x000D_
+7 (495) 928-47-48_x000D_
+7 (495) 279-56-38_x000D_
+7 (495) 528-06-54_x000D_
+7 (495) 626-62-45</v>
      </c>
      <c r="B66" s="11" t="str">
        <f>IF(COUNTIF(Дела!$A:$A,ROW()-1)&gt;0,VLOOKUP(ROW()-1,Дела!$A:$F,6,0),"")</f>
        <v>А40-35566/2024</v>
      </c>
      <c r="C66" s="11" t="str">
        <f>IF(COUNTIF(Дела!$A:$A,ROW()-1)&gt;0,VLOOKUP(ROW()-1,Дела!$A:$G,7,0),"")</f>
        <v>ООО "Макси Строй"</v>
      </c>
      <c r="D66" s="11" t="str">
        <f>IF(COUNTIF(Дела!$A:$A,ROW()-1)&gt;0,VLOOKUP(ROW()-1,Дела!$A:$I,9,0),"")</f>
        <v>АО "ЦДС"</v>
      </c>
      <c r="E66" s="11" t="str">
        <f t="shared" si="0"/>
        <v>Дмитрий Сергеевич</v>
      </c>
      <c r="F66" s="12">
        <f>IF(COUNTIF(Дела!$A:$A,ROW()-1)&gt;0,VLOOKUP(ROW()-1,Дела!$A:$M,13,0),"")</f>
        <v>16869973.16</v>
      </c>
      <c r="G66" s="13">
        <f>IF(COUNTIF(Дела!$A:$A,ROW()-1)&gt;0,VLOOKUP(ROW()-1,Дела!$A:$N,14,0),"")</f>
        <v>45343</v>
      </c>
      <c r="H66" s="11" t="str">
        <f>IF(COUNTIF(Дела!$A:$A,ROW()-1)&gt;0,VLOOKUP(ROW()-1,Дела!$A:$K,11,0),"")</f>
        <v>Теплинский Дмитрий Сергеевич</v>
      </c>
    </row>
    <row r="67" spans="1:8" ht="30" x14ac:dyDescent="0.25">
      <c r="A67" s="11">
        <f>IF(COUNTIF(Дела!$A:$A,ROW()-1)&gt;0,VLOOKUP(ROW()-1,Дела!$A:$C,3,0),"")</f>
        <v>0</v>
      </c>
      <c r="B67" s="11" t="str">
        <f>IF(COUNTIF(Дела!$A:$A,ROW()-1)&gt;0,VLOOKUP(ROW()-1,Дела!$A:$F,6,0),"")</f>
        <v>А40-35488/2024</v>
      </c>
      <c r="C67" s="11" t="str">
        <f>IF(COUNTIF(Дела!$A:$A,ROW()-1)&gt;0,VLOOKUP(ROW()-1,Дела!$A:$G,7,0),"")</f>
        <v>ООО "Развитие"</v>
      </c>
      <c r="D67" s="11" t="str">
        <f>IF(COUNTIF(Дела!$A:$A,ROW()-1)&gt;0,VLOOKUP(ROW()-1,Дела!$A:$I,9,0),"")</f>
        <v>ООО "СК "Пантеон"</v>
      </c>
      <c r="E67" s="11" t="str">
        <f t="shared" ref="E67:E130" si="1">IF(H67="","",MID(H67,SEARCH(" ",H67)+1,1000))</f>
        <v>Андрей Казбекович</v>
      </c>
      <c r="F67" s="12">
        <f>IF(COUNTIF(Дела!$A:$A,ROW()-1)&gt;0,VLOOKUP(ROW()-1,Дела!$A:$M,13,0),"")</f>
        <v>4265107.97</v>
      </c>
      <c r="G67" s="13">
        <f>IF(COUNTIF(Дела!$A:$A,ROW()-1)&gt;0,VLOOKUP(ROW()-1,Дела!$A:$N,14,0),"")</f>
        <v>45343</v>
      </c>
      <c r="H67" s="11" t="str">
        <f>IF(COUNTIF(Дела!$A:$A,ROW()-1)&gt;0,VLOOKUP(ROW()-1,Дела!$A:$K,11,0),"")</f>
        <v>Кайтуков Андрей Казбекович</v>
      </c>
    </row>
    <row r="68" spans="1:8" ht="45" x14ac:dyDescent="0.25">
      <c r="A68" s="11">
        <f>IF(COUNTIF(Дела!$A:$A,ROW()-1)&gt;0,VLOOKUP(ROW()-1,Дела!$A:$C,3,0),"")</f>
        <v>0</v>
      </c>
      <c r="B68" s="11" t="str">
        <f>IF(COUNTIF(Дела!$A:$A,ROW()-1)&gt;0,VLOOKUP(ROW()-1,Дела!$A:$F,6,0),"")</f>
        <v>А40-35395/2024</v>
      </c>
      <c r="C68" s="11" t="str">
        <f>IF(COUNTIF(Дела!$A:$A,ROW()-1)&gt;0,VLOOKUP(ROW()-1,Дела!$A:$G,7,0),"")</f>
        <v>ИП Епихин Дмитрий Андреевич</v>
      </c>
      <c r="D68" s="11" t="str">
        <f>IF(COUNTIF(Дела!$A:$A,ROW()-1)&gt;0,VLOOKUP(ROW()-1,Дела!$A:$I,9,0),"")</f>
        <v>ООО "Всеновостройки.Ру"</v>
      </c>
      <c r="E68" s="11" t="str">
        <f t="shared" si="1"/>
        <v>Анастасия Николаевна</v>
      </c>
      <c r="F68" s="12">
        <f>IF(COUNTIF(Дела!$A:$A,ROW()-1)&gt;0,VLOOKUP(ROW()-1,Дела!$A:$M,13,0),"")</f>
        <v>800000</v>
      </c>
      <c r="G68" s="13">
        <f>IF(COUNTIF(Дела!$A:$A,ROW()-1)&gt;0,VLOOKUP(ROW()-1,Дела!$A:$N,14,0),"")</f>
        <v>45343</v>
      </c>
      <c r="H68" s="11" t="str">
        <f>IF(COUNTIF(Дела!$A:$A,ROW()-1)&gt;0,VLOOKUP(ROW()-1,Дела!$A:$K,11,0),"")</f>
        <v>Лузанова Анастасия Николаевна</v>
      </c>
    </row>
    <row r="69" spans="1:8" ht="409.5" x14ac:dyDescent="0.25">
      <c r="A69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69" s="11" t="str">
        <f>IF(COUNTIF(Дела!$A:$A,ROW()-1)&gt;0,VLOOKUP(ROW()-1,Дела!$A:$F,6,0),"")</f>
        <v>А40-35346/2024</v>
      </c>
      <c r="C69" s="11" t="str">
        <f>IF(COUNTIF(Дела!$A:$A,ROW()-1)&gt;0,VLOOKUP(ROW()-1,Дела!$A:$G,7,0),"")</f>
        <v>ООО "Эколайн"</v>
      </c>
      <c r="D69" s="11" t="str">
        <f>IF(COUNTIF(Дела!$A:$A,ROW()-1)&gt;0,VLOOKUP(ROW()-1,Дела!$A:$I,9,0),"")</f>
        <v>ОАО "РЖД"</v>
      </c>
      <c r="E69" s="11" t="str">
        <f t="shared" si="1"/>
        <v>Олег Валентинович</v>
      </c>
      <c r="F69" s="12">
        <f>IF(COUNTIF(Дела!$A:$A,ROW()-1)&gt;0,VLOOKUP(ROW()-1,Дела!$A:$M,13,0),"")</f>
        <v>731515.08</v>
      </c>
      <c r="G69" s="13">
        <f>IF(COUNTIF(Дела!$A:$A,ROW()-1)&gt;0,VLOOKUP(ROW()-1,Дела!$A:$N,14,0),"")</f>
        <v>45343</v>
      </c>
      <c r="H69" s="11" t="str">
        <f>IF(COUNTIF(Дела!$A:$A,ROW()-1)&gt;0,VLOOKUP(ROW()-1,Дела!$A:$K,11,0),"")</f>
        <v>Белозёров Олег Валентинович</v>
      </c>
    </row>
    <row r="70" spans="1:8" ht="45" x14ac:dyDescent="0.25">
      <c r="A70" s="11" t="str">
        <f>IF(COUNTIF(Дела!$A:$A,ROW()-1)&gt;0,VLOOKUP(ROW()-1,Дела!$A:$C,3,0),"")</f>
        <v>+7 (937) 154-99-77</v>
      </c>
      <c r="B70" s="11" t="str">
        <f>IF(COUNTIF(Дела!$A:$A,ROW()-1)&gt;0,VLOOKUP(ROW()-1,Дела!$A:$F,6,0),"")</f>
        <v>А40-35292/2024</v>
      </c>
      <c r="C70" s="11" t="str">
        <f>IF(COUNTIF(Дела!$A:$A,ROW()-1)&gt;0,VLOOKUP(ROW()-1,Дела!$A:$G,7,0),"")</f>
        <v>ООО "Всеинструменты.Ру"</v>
      </c>
      <c r="D70" s="11" t="str">
        <f>IF(COUNTIF(Дела!$A:$A,ROW()-1)&gt;0,VLOOKUP(ROW()-1,Дела!$A:$I,9,0),"")</f>
        <v>ООО "Дип-Строй"</v>
      </c>
      <c r="E70" s="11" t="str">
        <f t="shared" si="1"/>
        <v>Дмитрий Юрьевич</v>
      </c>
      <c r="F70" s="12">
        <f>IF(COUNTIF(Дела!$A:$A,ROW()-1)&gt;0,VLOOKUP(ROW()-1,Дела!$A:$M,13,0),"")</f>
        <v>711829.22</v>
      </c>
      <c r="G70" s="13">
        <f>IF(COUNTIF(Дела!$A:$A,ROW()-1)&gt;0,VLOOKUP(ROW()-1,Дела!$A:$N,14,0),"")</f>
        <v>45343</v>
      </c>
      <c r="H70" s="11" t="str">
        <f>IF(COUNTIF(Дела!$A:$A,ROW()-1)&gt;0,VLOOKUP(ROW()-1,Дела!$A:$K,11,0),"")</f>
        <v>Лысюк Дмитрий Юрьевич</v>
      </c>
    </row>
    <row r="71" spans="1:8" ht="30" x14ac:dyDescent="0.25">
      <c r="A71" s="11">
        <f>IF(COUNTIF(Дела!$A:$A,ROW()-1)&gt;0,VLOOKUP(ROW()-1,Дела!$A:$C,3,0),"")</f>
        <v>0</v>
      </c>
      <c r="B71" s="11" t="str">
        <f>IF(COUNTIF(Дела!$A:$A,ROW()-1)&gt;0,VLOOKUP(ROW()-1,Дела!$A:$F,6,0),"")</f>
        <v>А40-35257/2024</v>
      </c>
      <c r="C71" s="11" t="str">
        <f>IF(COUNTIF(Дела!$A:$A,ROW()-1)&gt;0,VLOOKUP(ROW()-1,Дела!$A:$G,7,0),"")</f>
        <v>ООО "Биджи Инжиниринг"</v>
      </c>
      <c r="D71" s="11" t="str">
        <f>IF(COUNTIF(Дела!$A:$A,ROW()-1)&gt;0,VLOOKUP(ROW()-1,Дела!$A:$I,9,0),"")</f>
        <v>ООО "СК Паритет"</v>
      </c>
      <c r="E71" s="11" t="str">
        <f t="shared" si="1"/>
        <v>Олег Евгеньевич</v>
      </c>
      <c r="F71" s="12">
        <f>IF(COUNTIF(Дела!$A:$A,ROW()-1)&gt;0,VLOOKUP(ROW()-1,Дела!$A:$M,13,0),"")</f>
        <v>2181198</v>
      </c>
      <c r="G71" s="13">
        <f>IF(COUNTIF(Дела!$A:$A,ROW()-1)&gt;0,VLOOKUP(ROW()-1,Дела!$A:$N,14,0),"")</f>
        <v>45343</v>
      </c>
      <c r="H71" s="11" t="str">
        <f>IF(COUNTIF(Дела!$A:$A,ROW()-1)&gt;0,VLOOKUP(ROW()-1,Дела!$A:$K,11,0),"")</f>
        <v>Терехов Олег Евгеньевич</v>
      </c>
    </row>
    <row r="72" spans="1:8" ht="300" x14ac:dyDescent="0.25">
      <c r="A72" s="11" t="str">
        <f>IF(COUNTIF(Дела!$A:$A,ROW()-1)&gt;0,VLOOKUP(ROW()-1,Дела!$A:$C,3,0),"")</f>
        <v>+7 (495) 788-44-88_x000D_
+7 (960) 244-09-33_x000D_
+7 (495) 424-61-20_x000D_
+7 (495) 788-44-88, доб 2586_x000D_
+7 (812) 331-88-47_x000D_
+7 (903) 735-24-27_x000D_
+7 (967) 174-54-29_x000D_
+7 (495) 956-47-05_x000D_
+7 (4967) 52-54-85_x000D_
+7 (952) 459-92-98</v>
      </c>
      <c r="B72" s="11" t="str">
        <f>IF(COUNTIF(Дела!$A:$A,ROW()-1)&gt;0,VLOOKUP(ROW()-1,Дела!$A:$F,6,0),"")</f>
        <v>А40-35222/2024</v>
      </c>
      <c r="C72" s="11" t="str">
        <f>IF(COUNTIF(Дела!$A:$A,ROW()-1)&gt;0,VLOOKUP(ROW()-1,Дела!$A:$G,7,0),"")</f>
        <v>ООО "Торговый Дом "Таганка М"</v>
      </c>
      <c r="D72" s="11" t="str">
        <f>IF(COUNTIF(Дела!$A:$A,ROW()-1)&gt;0,VLOOKUP(ROW()-1,Дела!$A:$I,9,0),"")</f>
        <v>ООО "РОСИНТЕР Ресторантс"</v>
      </c>
      <c r="E72" s="11" t="str">
        <f t="shared" si="1"/>
        <v>Маргарита Валерьевна</v>
      </c>
      <c r="F72" s="12">
        <f>IF(COUNTIF(Дела!$A:$A,ROW()-1)&gt;0,VLOOKUP(ROW()-1,Дела!$A:$M,13,0),"")</f>
        <v>5747741.1100000003</v>
      </c>
      <c r="G72" s="13">
        <f>IF(COUNTIF(Дела!$A:$A,ROW()-1)&gt;0,VLOOKUP(ROW()-1,Дела!$A:$N,14,0),"")</f>
        <v>45343</v>
      </c>
      <c r="H72" s="11" t="str">
        <f>IF(COUNTIF(Дела!$A:$A,ROW()-1)&gt;0,VLOOKUP(ROW()-1,Дела!$A:$K,11,0),"")</f>
        <v>Костеева Маргарита Валерьевна</v>
      </c>
    </row>
    <row r="73" spans="1:8" ht="30" x14ac:dyDescent="0.25">
      <c r="A73" s="11" t="str">
        <f>IF(COUNTIF(Дела!$A:$A,ROW()-1)&gt;0,VLOOKUP(ROW()-1,Дела!$A:$C,3,0),"")</f>
        <v>+7 (495) 502-81-71</v>
      </c>
      <c r="B73" s="11" t="str">
        <f>IF(COUNTIF(Дела!$A:$A,ROW()-1)&gt;0,VLOOKUP(ROW()-1,Дела!$A:$F,6,0),"")</f>
        <v>А40-35247/2024</v>
      </c>
      <c r="C73" s="11" t="str">
        <f>IF(COUNTIF(Дела!$A:$A,ROW()-1)&gt;0,VLOOKUP(ROW()-1,Дела!$A:$G,7,0),"")</f>
        <v>ООО "Академия Льда"</v>
      </c>
      <c r="D73" s="11" t="str">
        <f>IF(COUNTIF(Дела!$A:$A,ROW()-1)&gt;0,VLOOKUP(ROW()-1,Дела!$A:$I,9,0),"")</f>
        <v>ООО "Простор-Л"</v>
      </c>
      <c r="E73" s="11" t="str">
        <f t="shared" si="1"/>
        <v>Василий Григорьевич</v>
      </c>
      <c r="F73" s="12">
        <f>IF(COUNTIF(Дела!$A:$A,ROW()-1)&gt;0,VLOOKUP(ROW()-1,Дела!$A:$M,13,0),"")</f>
        <v>633500</v>
      </c>
      <c r="G73" s="13">
        <f>IF(COUNTIF(Дела!$A:$A,ROW()-1)&gt;0,VLOOKUP(ROW()-1,Дела!$A:$N,14,0),"")</f>
        <v>45343</v>
      </c>
      <c r="H73" s="11" t="str">
        <f>IF(COUNTIF(Дела!$A:$A,ROW()-1)&gt;0,VLOOKUP(ROW()-1,Дела!$A:$K,11,0),"")</f>
        <v>Солдатов Василий Григорьевич</v>
      </c>
    </row>
    <row r="74" spans="1:8" ht="409.5" x14ac:dyDescent="0.25">
      <c r="A74" s="11" t="str">
        <f>IF(COUNTIF(Дела!$A:$A,ROW()-1)&gt;0,VLOOKUP(ROW()-1,Дела!$A:$C,3,0),"")</f>
        <v>+7 (3022) 22-54-69_x000D_
+7 (3022) 32-52-11_x000D_
+7 (383) 222-21-00_x000D_
+7 (3912) 48-00-45_x000D_
+7 (495) 262-85-06_x000D_
+7 (495) 788-17-17_x000D_
+7 (499) 262-75-78_x000D_
+7 (831) 248-42-53_x000D_
+7 (3022) 22-00-39_x000D_
+7 (3022) 22-00-58_x000D_
+7 (343) 380-12-00_x000D_
+7 (343) 380-12-46_x000D_
+7 (383) 229-42-27_x000D_
+7 (383) 248-03-19_x000D_
+7 (3912) 48-00-36_x000D_
+7 (3912) 48-13-22_x000D_
+7 (3952) 64-20-24_x000D_
+7 (4212) 45-12-10_x000D_
+7 (4852) 79-88-81_x000D_
+7 (812) 458-67-99_x000D_
+7 (831) 224-84-25, доб 3_x000D_
+7 (831) 248-27-47_x000D_
+7 (831) 275-69-84_x000D_
+7 (8793) 39-85-22_x000D_
+7 (4732) 65-35-08_x000D_
+7 (8452) 39-00-54_x000D_
+7 (863) 259-46-76_x000D_
+7 (863) 282-95-03_x000D_
+7 (3912) 48-00-31_x000D_
+7 (383) 227-18-52_x000D_
+7 (3952) 64-20-20_x000D_
+7 (831) 248-37-29_x000D_
+7 (812) 458-68-00_x000D_
+7 (499) 262-51-71_x000D_
+7 (4212) 38-55-08_x000D_
+7 (4852) 23-02-77_x000D_
+7 (3022) 22-71-18_x000D_
+7 (383) 229-47-57_x000D_
+7 (3912) 24-80-04, доб 5_x000D_
+7 (3952) 64-59-48_x000D_
+7 (3952) 64-59-50_x000D_
+7 (4212) 38-47-52_x000D_
+7 (4212) 38-54-72_x000D_
+7 (4732) 55-83-23_x000D_
+7 (4852) 23-01-20_x000D_
+7 (495) 262-75-78_x000D_
+7 (495) 495-26-23, доб 300_x000D_
+7 (495) 495-26-26, доб 135_x000D_
+7 (499) 154-82-02_x000D_
+7 (812) 458-68-04_x000D_
+7 (812) 458-91-18_x000D_
+7 (8452) 39-00-48_x000D_
+7 (846) 303-24-68_x000D_
+7 (863) 259-08-98_x000D_
+7 (863) 269-92-28_x000D_
+7 (499) 262-33-00_x000D_
+7 (495) 222-21-00_x000D_
+7 (3022) 22-00-29_x000D_
+7 (3466) 46-75-06_x000D_
+7 (495) 788-17-17, доб 4812_x000D_
+7 (3022) 22-59-25_x000D_
+7 (351) 259-22-61_x000D_
+7 (4212) 45-12-10, доб 8_x000D_
+7 (499) 788-17-17_x000D_
+7 (351) 259-24-79_x000D_
+7 (831) 248-80-02_x000D_
+7 (812) 495-41-76_x000D_
+7 (343) 262-85-06_x000D_
+7 (499) 262-85-06_x000D_
+7 (343) 380-12-00, доб 5007_x000D_
+7 (343) 380-12-00, доб 5008_x000D_
+7 (863) 259-08-74_x000D_
+7 (4212) 45-12-19_x000D_
+7 (495) 266-11-86</v>
      </c>
      <c r="B74" s="11" t="str">
        <f>IF(COUNTIF(Дела!$A:$A,ROW()-1)&gt;0,VLOOKUP(ROW()-1,Дела!$A:$F,6,0),"")</f>
        <v>А40-35177/2024</v>
      </c>
      <c r="C74" s="11" t="str">
        <f>IF(COUNTIF(Дела!$A:$A,ROW()-1)&gt;0,VLOOKUP(ROW()-1,Дела!$A:$G,7,0),"")</f>
        <v>ООО "Восточный Экспресс"</v>
      </c>
      <c r="D74" s="11" t="str">
        <f>IF(COUNTIF(Дела!$A:$A,ROW()-1)&gt;0,VLOOKUP(ROW()-1,Дела!$A:$I,9,0),"")</f>
        <v>ПАО "Трансконтейнер"</v>
      </c>
      <c r="E74" s="11" t="str">
        <f t="shared" si="1"/>
        <v>Михаил Рудольфович</v>
      </c>
      <c r="F74" s="12">
        <f>IF(COUNTIF(Дела!$A:$A,ROW()-1)&gt;0,VLOOKUP(ROW()-1,Дела!$A:$M,13,0),"")</f>
        <v>2207842</v>
      </c>
      <c r="G74" s="13">
        <f>IF(COUNTIF(Дела!$A:$A,ROW()-1)&gt;0,VLOOKUP(ROW()-1,Дела!$A:$N,14,0),"")</f>
        <v>45343</v>
      </c>
      <c r="H74" s="11" t="str">
        <f>IF(COUNTIF(Дела!$A:$A,ROW()-1)&gt;0,VLOOKUP(ROW()-1,Дела!$A:$K,11,0),"")</f>
        <v>Концерев Михаил Рудольфович</v>
      </c>
    </row>
    <row r="75" spans="1:8" ht="30" x14ac:dyDescent="0.25">
      <c r="A75" s="11">
        <f>IF(COUNTIF(Дела!$A:$A,ROW()-1)&gt;0,VLOOKUP(ROW()-1,Дела!$A:$C,3,0),"")</f>
        <v>0</v>
      </c>
      <c r="B75" s="11" t="str">
        <f>IF(COUNTIF(Дела!$A:$A,ROW()-1)&gt;0,VLOOKUP(ROW()-1,Дела!$A:$F,6,0),"")</f>
        <v>А40-35186/2024</v>
      </c>
      <c r="C75" s="11" t="str">
        <f>IF(COUNTIF(Дела!$A:$A,ROW()-1)&gt;0,VLOOKUP(ROW()-1,Дела!$A:$G,7,0),"")</f>
        <v>ООО "РАР"</v>
      </c>
      <c r="D75" s="11" t="str">
        <f>IF(COUNTIF(Дела!$A:$A,ROW()-1)&gt;0,VLOOKUP(ROW()-1,Дела!$A:$I,9,0),"")</f>
        <v>ООО "Газ-Автоматика"</v>
      </c>
      <c r="E75" s="11" t="str">
        <f t="shared" si="1"/>
        <v>Александра Сергеевна</v>
      </c>
      <c r="F75" s="12">
        <f>IF(COUNTIF(Дела!$A:$A,ROW()-1)&gt;0,VLOOKUP(ROW()-1,Дела!$A:$M,13,0),"")</f>
        <v>7500000</v>
      </c>
      <c r="G75" s="13">
        <f>IF(COUNTIF(Дела!$A:$A,ROW()-1)&gt;0,VLOOKUP(ROW()-1,Дела!$A:$N,14,0),"")</f>
        <v>45343</v>
      </c>
      <c r="H75" s="11" t="str">
        <f>IF(COUNTIF(Дела!$A:$A,ROW()-1)&gt;0,VLOOKUP(ROW()-1,Дела!$A:$K,11,0),"")</f>
        <v>Зайцева Александра Сергеевна</v>
      </c>
    </row>
    <row r="76" spans="1:8" ht="240" x14ac:dyDescent="0.25">
      <c r="A76" s="11" t="str">
        <f>IF(COUNTIF(Дела!$A:$A,ROW()-1)&gt;0,VLOOKUP(ROW()-1,Дела!$A:$C,3,0),"")</f>
        <v>+7 (495) 739-00-11_x000D_
+7 (495) 252-21-24_x000D_
+7 (919) 993-00-72_x000D_
+7 (495) 641-19-27_x000D_
+7 (495) 739-00-11, доб 3503_x000D_
+7 (495) 739-00-11, доб 3537_x000D_
+7 (495) 739-00-11, доб 3403_x000D_
+7 (495) 982-43-19</v>
      </c>
      <c r="B76" s="11" t="str">
        <f>IF(COUNTIF(Дела!$A:$A,ROW()-1)&gt;0,VLOOKUP(ROW()-1,Дела!$A:$F,6,0),"")</f>
        <v>А40-35076/2024</v>
      </c>
      <c r="C76" s="11" t="str">
        <f>IF(COUNTIF(Дела!$A:$A,ROW()-1)&gt;0,VLOOKUP(ROW()-1,Дела!$A:$G,7,0),"")</f>
        <v>ООО "Авентура"</v>
      </c>
      <c r="D76" s="11" t="str">
        <f>IF(COUNTIF(Дела!$A:$A,ROW()-1)&gt;0,VLOOKUP(ROW()-1,Дела!$A:$I,9,0),"")</f>
        <v>ООО "Юста Лайн"</v>
      </c>
      <c r="E76" s="11" t="str">
        <f t="shared" si="1"/>
        <v>Артем Сергеевич</v>
      </c>
      <c r="F76" s="12">
        <f>IF(COUNTIF(Дела!$A:$A,ROW()-1)&gt;0,VLOOKUP(ROW()-1,Дела!$A:$M,13,0),"")</f>
        <v>939708</v>
      </c>
      <c r="G76" s="13">
        <f>IF(COUNTIF(Дела!$A:$A,ROW()-1)&gt;0,VLOOKUP(ROW()-1,Дела!$A:$N,14,0),"")</f>
        <v>45343</v>
      </c>
      <c r="H76" s="11" t="str">
        <f>IF(COUNTIF(Дела!$A:$A,ROW()-1)&gt;0,VLOOKUP(ROW()-1,Дела!$A:$K,11,0),"")</f>
        <v>Сибиряков Артем Сергеевич</v>
      </c>
    </row>
    <row r="77" spans="1:8" ht="330" x14ac:dyDescent="0.25">
      <c r="A77" s="11" t="str">
        <f>IF(COUNTIF(Дела!$A:$A,ROW()-1)&gt;0,VLOOKUP(ROW()-1,Дела!$A:$C,3,0),"")</f>
        <v>+7 (495) 234-06-36_x000D_
+7 (495) 232-20-33_x000D_
+7 (495) 234-06-39_x000D_
+7 (495) 739-07-76_x000D_
+7 (495) 739-07-73_x000D_
+7 (499) 781-69-18_x000D_
+7 (495) 739-07-75_x000D_
+7 (8612) 24-95-13_x000D_
+7 (495) 232-16-54_x000D_
+7 (495) 232-20-22_x000D_
+7 (495) 232-39-93</v>
      </c>
      <c r="B77" s="11" t="str">
        <f>IF(COUNTIF(Дела!$A:$A,ROW()-1)&gt;0,VLOOKUP(ROW()-1,Дела!$A:$F,6,0),"")</f>
        <v>А40-35101/2024</v>
      </c>
      <c r="C77" s="11" t="str">
        <f>IF(COUNTIF(Дела!$A:$A,ROW()-1)&gt;0,VLOOKUP(ROW()-1,Дела!$A:$G,7,0),"")</f>
        <v>ООО "Легат"</v>
      </c>
      <c r="D77" s="11" t="str">
        <f>IF(COUNTIF(Дела!$A:$A,ROW()-1)&gt;0,VLOOKUP(ROW()-1,Дела!$A:$I,9,0),"")</f>
        <v>ЗАО "НПФ "Доломант"</v>
      </c>
      <c r="E77" s="11" t="str">
        <f t="shared" si="1"/>
        <v>Николай Викторович</v>
      </c>
      <c r="F77" s="12">
        <f>IF(COUNTIF(Дела!$A:$A,ROW()-1)&gt;0,VLOOKUP(ROW()-1,Дела!$A:$M,13,0),"")</f>
        <v>2449484.2200000002</v>
      </c>
      <c r="G77" s="13">
        <f>IF(COUNTIF(Дела!$A:$A,ROW()-1)&gt;0,VLOOKUP(ROW()-1,Дела!$A:$N,14,0),"")</f>
        <v>45343</v>
      </c>
      <c r="H77" s="11" t="str">
        <f>IF(COUNTIF(Дела!$A:$A,ROW()-1)&gt;0,VLOOKUP(ROW()-1,Дела!$A:$K,11,0),"")</f>
        <v>Федякин Николай Викторович</v>
      </c>
    </row>
    <row r="78" spans="1:8" ht="150" x14ac:dyDescent="0.25">
      <c r="A78" s="11" t="str">
        <f>IF(COUNTIF(Дела!$A:$A,ROW()-1)&gt;0,VLOOKUP(ROW()-1,Дела!$A:$C,3,0),"")</f>
        <v>+7 (495) 733-57-28_x000D_
+7 (495) 773-41-58_x000D_
+7 (926) 000-23-65_x000D_
+7 (962) 951-20-01_x000D_
+7 (495) 733-57-31</v>
      </c>
      <c r="B78" s="11" t="str">
        <f>IF(COUNTIF(Дела!$A:$A,ROW()-1)&gt;0,VLOOKUP(ROW()-1,Дела!$A:$F,6,0),"")</f>
        <v>А40-35070/2024</v>
      </c>
      <c r="C78" s="11" t="str">
        <f>IF(COUNTIF(Дела!$A:$A,ROW()-1)&gt;0,VLOOKUP(ROW()-1,Дела!$A:$G,7,0),"")</f>
        <v>ООО "Инженерные Системы"</v>
      </c>
      <c r="D78" s="11" t="str">
        <f>IF(COUNTIF(Дела!$A:$A,ROW()-1)&gt;0,VLOOKUP(ROW()-1,Дела!$A:$I,9,0),"")</f>
        <v>ООО "Стройспецсила"</v>
      </c>
      <c r="E78" s="11" t="str">
        <f t="shared" si="1"/>
        <v>Максим Сергеевич</v>
      </c>
      <c r="F78" s="12">
        <f>IF(COUNTIF(Дела!$A:$A,ROW()-1)&gt;0,VLOOKUP(ROW()-1,Дела!$A:$M,13,0),"")</f>
        <v>1690892.29</v>
      </c>
      <c r="G78" s="13">
        <f>IF(COUNTIF(Дела!$A:$A,ROW()-1)&gt;0,VLOOKUP(ROW()-1,Дела!$A:$N,14,0),"")</f>
        <v>45343</v>
      </c>
      <c r="H78" s="11" t="str">
        <f>IF(COUNTIF(Дела!$A:$A,ROW()-1)&gt;0,VLOOKUP(ROW()-1,Дела!$A:$K,11,0),"")</f>
        <v>Сухорученков Максим Сергеевич</v>
      </c>
    </row>
    <row r="79" spans="1:8" ht="45" x14ac:dyDescent="0.25">
      <c r="A79" s="11">
        <f>IF(COUNTIF(Дела!$A:$A,ROW()-1)&gt;0,VLOOKUP(ROW()-1,Дела!$A:$C,3,0),"")</f>
        <v>0</v>
      </c>
      <c r="B79" s="11" t="str">
        <f>IF(COUNTIF(Дела!$A:$A,ROW()-1)&gt;0,VLOOKUP(ROW()-1,Дела!$A:$F,6,0),"")</f>
        <v>А40-35071/2024</v>
      </c>
      <c r="C79" s="11" t="str">
        <f>IF(COUNTIF(Дела!$A:$A,ROW()-1)&gt;0,VLOOKUP(ROW()-1,Дела!$A:$G,7,0),"")</f>
        <v>ИП Сильченко Кристина Викторовна</v>
      </c>
      <c r="D79" s="11" t="str">
        <f>IF(COUNTIF(Дела!$A:$A,ROW()-1)&gt;0,VLOOKUP(ROW()-1,Дела!$A:$I,9,0),"")</f>
        <v>ООО "Людин"</v>
      </c>
      <c r="E79" s="11" t="str">
        <f t="shared" si="1"/>
        <v>Татьяна Александровна</v>
      </c>
      <c r="F79" s="12">
        <f>IF(COUNTIF(Дела!$A:$A,ROW()-1)&gt;0,VLOOKUP(ROW()-1,Дела!$A:$M,13,0),"")</f>
        <v>4847539</v>
      </c>
      <c r="G79" s="13">
        <f>IF(COUNTIF(Дела!$A:$A,ROW()-1)&gt;0,VLOOKUP(ROW()-1,Дела!$A:$N,14,0),"")</f>
        <v>45343</v>
      </c>
      <c r="H79" s="11" t="str">
        <f>IF(COUNTIF(Дела!$A:$A,ROW()-1)&gt;0,VLOOKUP(ROW()-1,Дела!$A:$K,11,0),"")</f>
        <v>Паршина Татьяна Александровна</v>
      </c>
    </row>
    <row r="80" spans="1:8" ht="45" x14ac:dyDescent="0.25">
      <c r="A80" s="11">
        <f>IF(COUNTIF(Дела!$A:$A,ROW()-1)&gt;0,VLOOKUP(ROW()-1,Дела!$A:$C,3,0),"")</f>
        <v>0</v>
      </c>
      <c r="B80" s="11" t="str">
        <f>IF(COUNTIF(Дела!$A:$A,ROW()-1)&gt;0,VLOOKUP(ROW()-1,Дела!$A:$F,6,0),"")</f>
        <v>А40-35009/2024</v>
      </c>
      <c r="C80" s="11" t="str">
        <f>IF(COUNTIF(Дела!$A:$A,ROW()-1)&gt;0,VLOOKUP(ROW()-1,Дела!$A:$G,7,0),"")</f>
        <v>ООО "Строй Инвест"</v>
      </c>
      <c r="D80" s="11" t="str">
        <f>IF(COUNTIF(Дела!$A:$A,ROW()-1)&gt;0,VLOOKUP(ROW()-1,Дела!$A:$I,9,0),"")</f>
        <v>ООО "Диалог"</v>
      </c>
      <c r="E80" s="11" t="str">
        <f t="shared" si="1"/>
        <v>Татьяна Владимировна</v>
      </c>
      <c r="F80" s="12">
        <f>IF(COUNTIF(Дела!$A:$A,ROW()-1)&gt;0,VLOOKUP(ROW()-1,Дела!$A:$M,13,0),"")</f>
        <v>5398668.1699999999</v>
      </c>
      <c r="G80" s="13">
        <f>IF(COUNTIF(Дела!$A:$A,ROW()-1)&gt;0,VLOOKUP(ROW()-1,Дела!$A:$N,14,0),"")</f>
        <v>45343</v>
      </c>
      <c r="H80" s="11" t="str">
        <f>IF(COUNTIF(Дела!$A:$A,ROW()-1)&gt;0,VLOOKUP(ROW()-1,Дела!$A:$K,11,0),"")</f>
        <v>Дмитриченкова Татьяна Владимировна</v>
      </c>
    </row>
    <row r="81" spans="1:8" ht="45" x14ac:dyDescent="0.25">
      <c r="A81" s="11" t="str">
        <f>IF(COUNTIF(Дела!$A:$A,ROW()-1)&gt;0,VLOOKUP(ROW()-1,Дела!$A:$C,3,0),"")</f>
        <v>+7 (926) 736-30-83</v>
      </c>
      <c r="B81" s="11" t="str">
        <f>IF(COUNTIF(Дела!$A:$A,ROW()-1)&gt;0,VLOOKUP(ROW()-1,Дела!$A:$F,6,0),"")</f>
        <v>А40-35007/2024</v>
      </c>
      <c r="C81" s="11" t="str">
        <f>IF(COUNTIF(Дела!$A:$A,ROW()-1)&gt;0,VLOOKUP(ROW()-1,Дела!$A:$G,7,0),"")</f>
        <v>ООО "Ситистройтандем"</v>
      </c>
      <c r="D81" s="11" t="str">
        <f>IF(COUNTIF(Дела!$A:$A,ROW()-1)&gt;0,VLOOKUP(ROW()-1,Дела!$A:$I,9,0),"")</f>
        <v>ООО "Новация"</v>
      </c>
      <c r="E81" s="11" t="str">
        <f t="shared" si="1"/>
        <v>Александра Валерьевна</v>
      </c>
      <c r="F81" s="12">
        <f>IF(COUNTIF(Дела!$A:$A,ROW()-1)&gt;0,VLOOKUP(ROW()-1,Дела!$A:$M,13,0),"")</f>
        <v>768000</v>
      </c>
      <c r="G81" s="13">
        <f>IF(COUNTIF(Дела!$A:$A,ROW()-1)&gt;0,VLOOKUP(ROW()-1,Дела!$A:$N,14,0),"")</f>
        <v>45343</v>
      </c>
      <c r="H81" s="11" t="str">
        <f>IF(COUNTIF(Дела!$A:$A,ROW()-1)&gt;0,VLOOKUP(ROW()-1,Дела!$A:$K,11,0),"")</f>
        <v>Столярова Александра Валерьевна</v>
      </c>
    </row>
    <row r="82" spans="1:8" ht="45" x14ac:dyDescent="0.25">
      <c r="A82" s="11" t="str">
        <f>IF(COUNTIF(Дела!$A:$A,ROW()-1)&gt;0,VLOOKUP(ROW()-1,Дела!$A:$C,3,0),"")</f>
        <v>+7 (903) 744-55-25</v>
      </c>
      <c r="B82" s="11" t="str">
        <f>IF(COUNTIF(Дела!$A:$A,ROW()-1)&gt;0,VLOOKUP(ROW()-1,Дела!$A:$F,6,0),"")</f>
        <v>А40-34993/2024</v>
      </c>
      <c r="C82" s="11" t="str">
        <f>IF(COUNTIF(Дела!$A:$A,ROW()-1)&gt;0,VLOOKUP(ROW()-1,Дела!$A:$G,7,0),"")</f>
        <v>ИП Красильников Илья Борисович</v>
      </c>
      <c r="D82" s="11" t="str">
        <f>IF(COUNTIF(Дела!$A:$A,ROW()-1)&gt;0,VLOOKUP(ROW()-1,Дела!$A:$I,9,0),"")</f>
        <v>ООО "Усмр-45"</v>
      </c>
      <c r="E82" s="11" t="str">
        <f t="shared" si="1"/>
        <v>Илья Сергеевич</v>
      </c>
      <c r="F82" s="12">
        <f>IF(COUNTIF(Дела!$A:$A,ROW()-1)&gt;0,VLOOKUP(ROW()-1,Дела!$A:$M,13,0),"")</f>
        <v>1695120.67</v>
      </c>
      <c r="G82" s="13">
        <f>IF(COUNTIF(Дела!$A:$A,ROW()-1)&gt;0,VLOOKUP(ROW()-1,Дела!$A:$N,14,0),"")</f>
        <v>45343</v>
      </c>
      <c r="H82" s="11" t="str">
        <f>IF(COUNTIF(Дела!$A:$A,ROW()-1)&gt;0,VLOOKUP(ROW()-1,Дела!$A:$K,11,0),"")</f>
        <v>Балашов Илья Сергеевич</v>
      </c>
    </row>
    <row r="83" spans="1:8" ht="60" x14ac:dyDescent="0.25">
      <c r="A83" s="11" t="str">
        <f>IF(COUNTIF(Дела!$A:$A,ROW()-1)&gt;0,VLOOKUP(ROW()-1,Дела!$A:$C,3,0),"")</f>
        <v>+7 (909) 949-99-88_x000D_
+7 (499) 450-99-21</v>
      </c>
      <c r="B83" s="11" t="str">
        <f>IF(COUNTIF(Дела!$A:$A,ROW()-1)&gt;0,VLOOKUP(ROW()-1,Дела!$A:$F,6,0),"")</f>
        <v>А40-35089/2024</v>
      </c>
      <c r="C83" s="11" t="str">
        <f>IF(COUNTIF(Дела!$A:$A,ROW()-1)&gt;0,VLOOKUP(ROW()-1,Дела!$A:$G,7,0),"")</f>
        <v>ООО "Инженерные Системы"</v>
      </c>
      <c r="D83" s="11" t="str">
        <f>IF(COUNTIF(Дела!$A:$A,ROW()-1)&gt;0,VLOOKUP(ROW()-1,Дела!$A:$I,9,0),"")</f>
        <v>ООО "ТМ-Групп"</v>
      </c>
      <c r="E83" s="11" t="str">
        <f t="shared" si="1"/>
        <v>Лейла Ахметовна</v>
      </c>
      <c r="F83" s="12">
        <f>IF(COUNTIF(Дела!$A:$A,ROW()-1)&gt;0,VLOOKUP(ROW()-1,Дела!$A:$M,13,0),"")</f>
        <v>967234.33</v>
      </c>
      <c r="G83" s="13">
        <f>IF(COUNTIF(Дела!$A:$A,ROW()-1)&gt;0,VLOOKUP(ROW()-1,Дела!$A:$N,14,0),"")</f>
        <v>45343</v>
      </c>
      <c r="H83" s="11" t="str">
        <f>IF(COUNTIF(Дела!$A:$A,ROW()-1)&gt;0,VLOOKUP(ROW()-1,Дела!$A:$K,11,0),"")</f>
        <v>Мальсагова Лейла Ахметовна</v>
      </c>
    </row>
    <row r="84" spans="1:8" ht="60" x14ac:dyDescent="0.25">
      <c r="A84" s="11" t="str">
        <f>IF(COUNTIF(Дела!$A:$A,ROW()-1)&gt;0,VLOOKUP(ROW()-1,Дела!$A:$C,3,0),"")</f>
        <v>+7 (846) 241-77-10_x000D_
+7 (846) 222-41-77</v>
      </c>
      <c r="B84" s="11" t="str">
        <f>IF(COUNTIF(Дела!$A:$A,ROW()-1)&gt;0,VLOOKUP(ROW()-1,Дела!$A:$F,6,0),"")</f>
        <v>А40-36130/2024</v>
      </c>
      <c r="C84" s="11" t="str">
        <f>IF(COUNTIF(Дела!$A:$A,ROW()-1)&gt;0,VLOOKUP(ROW()-1,Дела!$A:$G,7,0),"")</f>
        <v>ОАО "РЖД"</v>
      </c>
      <c r="D84" s="11" t="str">
        <f>IF(COUNTIF(Дела!$A:$A,ROW()-1)&gt;0,VLOOKUP(ROW()-1,Дела!$A:$I,9,0),"")</f>
        <v>ООО "Транзит Сервис"</v>
      </c>
      <c r="E84" s="11" t="str">
        <f t="shared" si="1"/>
        <v>Елена Анатольевна</v>
      </c>
      <c r="F84" s="12">
        <f>IF(COUNTIF(Дела!$A:$A,ROW()-1)&gt;0,VLOOKUP(ROW()-1,Дела!$A:$M,13,0),"")</f>
        <v>2541155.75</v>
      </c>
      <c r="G84" s="13">
        <f>IF(COUNTIF(Дела!$A:$A,ROW()-1)&gt;0,VLOOKUP(ROW()-1,Дела!$A:$N,14,0),"")</f>
        <v>45343</v>
      </c>
      <c r="H84" s="11" t="str">
        <f>IF(COUNTIF(Дела!$A:$A,ROW()-1)&gt;0,VLOOKUP(ROW()-1,Дела!$A:$K,11,0),"")</f>
        <v>Климантова Елена Анатольевна</v>
      </c>
    </row>
    <row r="85" spans="1:8" ht="30" x14ac:dyDescent="0.25">
      <c r="A85" s="11">
        <f>IF(COUNTIF(Дела!$A:$A,ROW()-1)&gt;0,VLOOKUP(ROW()-1,Дела!$A:$C,3,0),"")</f>
        <v>0</v>
      </c>
      <c r="B85" s="11" t="str">
        <f>IF(COUNTIF(Дела!$A:$A,ROW()-1)&gt;0,VLOOKUP(ROW()-1,Дела!$A:$F,6,0),"")</f>
        <v>А40-36143/2024</v>
      </c>
      <c r="C85" s="11">
        <f>IF(COUNTIF(Дела!$A:$A,ROW()-1)&gt;0,VLOOKUP(ROW()-1,Дела!$A:$G,7,0),"")</f>
        <v>0</v>
      </c>
      <c r="D85" s="11" t="str">
        <f>IF(COUNTIF(Дела!$A:$A,ROW()-1)&gt;0,VLOOKUP(ROW()-1,Дела!$A:$I,9,0),"")</f>
        <v>ИП Кудашов Андрей Павлович</v>
      </c>
      <c r="E85" s="11" t="str">
        <f t="shared" si="1"/>
        <v>Андрей Павлович</v>
      </c>
      <c r="F85" s="12">
        <f>IF(COUNTIF(Дела!$A:$A,ROW()-1)&gt;0,VLOOKUP(ROW()-1,Дела!$A:$M,13,0),"")</f>
        <v>1073877.25</v>
      </c>
      <c r="G85" s="13">
        <f>IF(COUNTIF(Дела!$A:$A,ROW()-1)&gt;0,VLOOKUP(ROW()-1,Дела!$A:$N,14,0),"")</f>
        <v>45343</v>
      </c>
      <c r="H85" s="11" t="str">
        <f>IF(COUNTIF(Дела!$A:$A,ROW()-1)&gt;0,VLOOKUP(ROW()-1,Дела!$A:$K,11,0),"")</f>
        <v>Кудашов Андрей Павлович</v>
      </c>
    </row>
    <row r="86" spans="1:8" ht="270" x14ac:dyDescent="0.25">
      <c r="A86" s="11" t="str">
        <f>IF(COUNTIF(Дела!$A:$A,ROW()-1)&gt;0,VLOOKUP(ROW()-1,Дела!$A:$C,3,0),"")</f>
        <v>+7 (86141) 3-22-96_x000D_
+7 (86141) 5-44-47_x000D_
+7 (86141) 3-26-56_x000D_
+7 (86141) 3-22-94_x000D_
+7 (86141) 5-10-36_x000D_
+7 (86141) 7-10-10_x000D_
+7 (928) 432-99-81_x000D_
+7 (928) 881-17-77_x000D_
+7 (964) 921-20-20</v>
      </c>
      <c r="B86" s="11" t="str">
        <f>IF(COUNTIF(Дела!$A:$A,ROW()-1)&gt;0,VLOOKUP(ROW()-1,Дела!$A:$F,6,0),"")</f>
        <v>А40-36113/2024</v>
      </c>
      <c r="C86" s="11" t="str">
        <f>IF(COUNTIF(Дела!$A:$A,ROW()-1)&gt;0,VLOOKUP(ROW()-1,Дела!$A:$G,7,0),"")</f>
        <v>АО "Банк СГБ"</v>
      </c>
      <c r="D86" s="11" t="str">
        <f>IF(COUNTIF(Дела!$A:$A,ROW()-1)&gt;0,VLOOKUP(ROW()-1,Дела!$A:$I,9,0),"")</f>
        <v>ООО "ВЕК"</v>
      </c>
      <c r="E86" s="11" t="str">
        <f t="shared" si="1"/>
        <v>Владимир Васильевич</v>
      </c>
      <c r="F86" s="12">
        <f>IF(COUNTIF(Дела!$A:$A,ROW()-1)&gt;0,VLOOKUP(ROW()-1,Дела!$A:$M,13,0),"")</f>
        <v>8591978.0899999999</v>
      </c>
      <c r="G86" s="13">
        <f>IF(COUNTIF(Дела!$A:$A,ROW()-1)&gt;0,VLOOKUP(ROW()-1,Дела!$A:$N,14,0),"")</f>
        <v>45343</v>
      </c>
      <c r="H86" s="11" t="str">
        <f>IF(COUNTIF(Дела!$A:$A,ROW()-1)&gt;0,VLOOKUP(ROW()-1,Дела!$A:$K,11,0),"")</f>
        <v>Воронцов Владимир Васильевич</v>
      </c>
    </row>
    <row r="87" spans="1:8" ht="405" x14ac:dyDescent="0.25">
      <c r="A87" s="11" t="str">
        <f>IF(COUNTIF(Дела!$A:$A,ROW()-1)&gt;0,VLOOKUP(ROW()-1,Дела!$A:$C,3,0),"")</f>
        <v>+7 (495) 940-09-37_x000D_
+7 (495) 940-11-82_x000D_
+7 (495) 669-30-63_x000D_
+7 (495) 689-30-63, доб 2135_x000D_
+7 (499) 722-90-00_x000D_
+7 (903) 782-96-82_x000D_
+7(495)9400937_x000D_
+7(495)9408263_x000D_
+7 (495) 940-82-63_x000D_
+7(495)6894086_x000D_
+7 (495) 689-40-86_x000D_
+7 (495) 957-99-77_x000D_
+7 (495) 940-11-74_x000D_
+7 (495) 940-06-94_x000D_
+7 (495) 302-85-26</v>
      </c>
      <c r="B87" s="11" t="str">
        <f>IF(COUNTIF(Дела!$A:$A,ROW()-1)&gt;0,VLOOKUP(ROW()-1,Дела!$A:$F,6,0),"")</f>
        <v>А40-36139/2024</v>
      </c>
      <c r="C87" s="11" t="str">
        <f>IF(COUNTIF(Дела!$A:$A,ROW()-1)&gt;0,VLOOKUP(ROW()-1,Дела!$A:$G,7,0),"")</f>
        <v>ФКУ "Войсковая Часть 33877"</v>
      </c>
      <c r="D87" s="11" t="str">
        <f>IF(COUNTIF(Дела!$A:$A,ROW()-1)&gt;0,VLOOKUP(ROW()-1,Дела!$A:$I,9,0),"")</f>
        <v>ГБУ "Автомобильные Дороги"</v>
      </c>
      <c r="E87" s="11" t="str">
        <f t="shared" si="1"/>
        <v>Александр Станиславович</v>
      </c>
      <c r="F87" s="12">
        <f>IF(COUNTIF(Дела!$A:$A,ROW()-1)&gt;0,VLOOKUP(ROW()-1,Дела!$A:$M,13,0),"")</f>
        <v>748425.5</v>
      </c>
      <c r="G87" s="13">
        <f>IF(COUNTIF(Дела!$A:$A,ROW()-1)&gt;0,VLOOKUP(ROW()-1,Дела!$A:$N,14,0),"")</f>
        <v>45343</v>
      </c>
      <c r="H87" s="11" t="str">
        <f>IF(COUNTIF(Дела!$A:$A,ROW()-1)&gt;0,VLOOKUP(ROW()-1,Дела!$A:$K,11,0),"")</f>
        <v>Орешкин Александр Станиславович</v>
      </c>
    </row>
    <row r="88" spans="1:8" ht="409.5" x14ac:dyDescent="0.25">
      <c r="A88" s="11" t="str">
        <f>IF(COUNTIF(Дела!$A:$A,ROW()-1)&gt;0,VLOOKUP(ROW()-1,Дела!$A:$C,3,0),"")</f>
        <v>+7 (495) 380-36-61_x000D_
+7 (4822) 50-98-01_x000D_
+7 (495) 380-38-61_x000D_
+7 (495) 545-41-58_x000D_
+7 (495) 651-61-66_x000D_
+7 (495) 901-66-30, доб 107_x000D_
+7 (495) 902-66-30, доб 104_x000D_
+7 (495) 902-66-30, доб 107_x000D_
+7 (495) 902-66-30, доб 111_x000D_
+7 (495) 902-66-30, доб 115_x000D_
+7 (495) 902-66-39_x000D_
+7 (495) 902-66-70_x000D_
+7 (495) 906-66-30_x000D_
+7 (499) 707-14-23_x000D_
+7 (84722) 3-56-35, доб 6_x000D_
+7 (962) 939-91-39_x000D_
+7 (969) 123-93-29_x000D_
+7 (495) 902-66-30_x000D_
+7 (906) 738-14-35_x000D_
+7 (495) 903-63-30_x000D_
+7 (495) 380-38-61, доб 107_x000D_
+7 (495) 902-66-30, доб 114_x000D_
+7 (495) 902-66-30, доб 100_x000D_
+7 (926) 665-34-55</v>
      </c>
      <c r="B88" s="11" t="str">
        <f>IF(COUNTIF(Дела!$A:$A,ROW()-1)&gt;0,VLOOKUP(ROW()-1,Дела!$A:$F,6,0),"")</f>
        <v>А40-36072/2024</v>
      </c>
      <c r="C88" s="11" t="str">
        <f>IF(COUNTIF(Дела!$A:$A,ROW()-1)&gt;0,VLOOKUP(ROW()-1,Дела!$A:$G,7,0),"")</f>
        <v>АО "Крафтвэй Корпорэйшн ПЛС"</v>
      </c>
      <c r="D88" s="11" t="str">
        <f>IF(COUNTIF(Дела!$A:$A,ROW()-1)&gt;0,VLOOKUP(ROW()-1,Дела!$A:$I,9,0),"")</f>
        <v>ООО "Мира"</v>
      </c>
      <c r="E88" s="11" t="str">
        <f t="shared" si="1"/>
        <v>Ваге Эдуардович</v>
      </c>
      <c r="F88" s="12">
        <f>IF(COUNTIF(Дела!$A:$A,ROW()-1)&gt;0,VLOOKUP(ROW()-1,Дела!$A:$M,13,0),"")</f>
        <v>11880355</v>
      </c>
      <c r="G88" s="13">
        <f>IF(COUNTIF(Дела!$A:$A,ROW()-1)&gt;0,VLOOKUP(ROW()-1,Дела!$A:$N,14,0),"")</f>
        <v>45343</v>
      </c>
      <c r="H88" s="11" t="str">
        <f>IF(COUNTIF(Дела!$A:$A,ROW()-1)&gt;0,VLOOKUP(ROW()-1,Дела!$A:$K,11,0),"")</f>
        <v>Арутюнян Ваге Эдуардович</v>
      </c>
    </row>
    <row r="89" spans="1:8" ht="45" x14ac:dyDescent="0.25">
      <c r="A89" s="11" t="str">
        <f>IF(COUNTIF(Дела!$A:$A,ROW()-1)&gt;0,VLOOKUP(ROW()-1,Дела!$A:$C,3,0),"")</f>
        <v>+7 (383) 213-31-32_x000D_
8 (800) 511-87-82</v>
      </c>
      <c r="B89" s="11" t="str">
        <f>IF(COUNTIF(Дела!$A:$A,ROW()-1)&gt;0,VLOOKUP(ROW()-1,Дела!$A:$F,6,0),"")</f>
        <v>А40-36046/2024</v>
      </c>
      <c r="C89" s="11" t="str">
        <f>IF(COUNTIF(Дела!$A:$A,ROW()-1)&gt;0,VLOOKUP(ROW()-1,Дела!$A:$G,7,0),"")</f>
        <v>ООО "Бизнес-Сервис"</v>
      </c>
      <c r="D89" s="11" t="str">
        <f>IF(COUNTIF(Дела!$A:$A,ROW()-1)&gt;0,VLOOKUP(ROW()-1,Дела!$A:$I,9,0),"")</f>
        <v>ООО "НСК-Механизация"</v>
      </c>
      <c r="E89" s="11" t="str">
        <f t="shared" si="1"/>
        <v>Павел Юрьевич</v>
      </c>
      <c r="F89" s="12">
        <f>IF(COUNTIF(Дела!$A:$A,ROW()-1)&gt;0,VLOOKUP(ROW()-1,Дела!$A:$M,13,0),"")</f>
        <v>2987154.64</v>
      </c>
      <c r="G89" s="13">
        <f>IF(COUNTIF(Дела!$A:$A,ROW()-1)&gt;0,VLOOKUP(ROW()-1,Дела!$A:$N,14,0),"")</f>
        <v>45343</v>
      </c>
      <c r="H89" s="11" t="str">
        <f>IF(COUNTIF(Дела!$A:$A,ROW()-1)&gt;0,VLOOKUP(ROW()-1,Дела!$A:$K,11,0),"")</f>
        <v>Чугуевский Павел Юрьевич</v>
      </c>
    </row>
    <row r="90" spans="1:8" ht="30" x14ac:dyDescent="0.25">
      <c r="A90" s="11">
        <f>IF(COUNTIF(Дела!$A:$A,ROW()-1)&gt;0,VLOOKUP(ROW()-1,Дела!$A:$C,3,0),"")</f>
        <v>0</v>
      </c>
      <c r="B90" s="11" t="str">
        <f>IF(COUNTIF(Дела!$A:$A,ROW()-1)&gt;0,VLOOKUP(ROW()-1,Дела!$A:$F,6,0),"")</f>
        <v>А40-35987/2024</v>
      </c>
      <c r="C90" s="11" t="str">
        <f>IF(COUNTIF(Дела!$A:$A,ROW()-1)&gt;0,VLOOKUP(ROW()-1,Дела!$A:$G,7,0),"")</f>
        <v>ИП Монахов Игорь Сергеевич</v>
      </c>
      <c r="D90" s="11" t="str">
        <f>IF(COUNTIF(Дела!$A:$A,ROW()-1)&gt;0,VLOOKUP(ROW()-1,Дела!$A:$I,9,0),"")</f>
        <v>ООО "Интекс"</v>
      </c>
      <c r="E90" s="11" t="str">
        <f t="shared" si="1"/>
        <v>Елена Михайловна</v>
      </c>
      <c r="F90" s="12">
        <f>IF(COUNTIF(Дела!$A:$A,ROW()-1)&gt;0,VLOOKUP(ROW()-1,Дела!$A:$M,13,0),"")</f>
        <v>3891906.12</v>
      </c>
      <c r="G90" s="13">
        <f>IF(COUNTIF(Дела!$A:$A,ROW()-1)&gt;0,VLOOKUP(ROW()-1,Дела!$A:$N,14,0),"")</f>
        <v>45343</v>
      </c>
      <c r="H90" s="11" t="str">
        <f>IF(COUNTIF(Дела!$A:$A,ROW()-1)&gt;0,VLOOKUP(ROW()-1,Дела!$A:$K,11,0),"")</f>
        <v>Крылова Елена Михайловна</v>
      </c>
    </row>
    <row r="91" spans="1:8" ht="45" x14ac:dyDescent="0.25">
      <c r="A91" s="11" t="str">
        <f>IF(COUNTIF(Дела!$A:$A,ROW()-1)&gt;0,VLOOKUP(ROW()-1,Дела!$A:$C,3,0),"")</f>
        <v>+79266339592_x000D_
+7 (904) 494-01-42</v>
      </c>
      <c r="B91" s="11" t="str">
        <f>IF(COUNTIF(Дела!$A:$A,ROW()-1)&gt;0,VLOOKUP(ROW()-1,Дела!$A:$F,6,0),"")</f>
        <v>А40-36173/2024</v>
      </c>
      <c r="C91" s="11" t="str">
        <f>IF(COUNTIF(Дела!$A:$A,ROW()-1)&gt;0,VLOOKUP(ROW()-1,Дела!$A:$G,7,0),"")</f>
        <v>ООО "Тинкер"</v>
      </c>
      <c r="D91" s="11" t="str">
        <f>IF(COUNTIF(Дела!$A:$A,ROW()-1)&gt;0,VLOOKUP(ROW()-1,Дела!$A:$I,9,0),"")</f>
        <v>ООО "Чистый Двор"</v>
      </c>
      <c r="E91" s="11" t="str">
        <f t="shared" si="1"/>
        <v>Константин Сергеевич</v>
      </c>
      <c r="F91" s="12">
        <f>IF(COUNTIF(Дела!$A:$A,ROW()-1)&gt;0,VLOOKUP(ROW()-1,Дела!$A:$M,13,0),"")</f>
        <v>2246377.54</v>
      </c>
      <c r="G91" s="13">
        <f>IF(COUNTIF(Дела!$A:$A,ROW()-1)&gt;0,VLOOKUP(ROW()-1,Дела!$A:$N,14,0),"")</f>
        <v>45344</v>
      </c>
      <c r="H91" s="11" t="str">
        <f>IF(COUNTIF(Дела!$A:$A,ROW()-1)&gt;0,VLOOKUP(ROW()-1,Дела!$A:$K,11,0),"")</f>
        <v>Государев Константин Сергеевич</v>
      </c>
    </row>
    <row r="92" spans="1:8" ht="210" x14ac:dyDescent="0.25">
      <c r="A92" s="11" t="str">
        <f>IF(COUNTIF(Дела!$A:$A,ROW()-1)&gt;0,VLOOKUP(ROW()-1,Дела!$A:$C,3,0),"")</f>
        <v>+7 (495) 302-94-40_x000D_
+7 (4712) 58-80-90_x000D_
+7 (910) 270-03-70_x000D_
+7 (4712) 58-87-59_x000D_
+7 (4712) 58-80-55_x000D_
+7 (495) 303-43-95_x000D_
+7 (495) 302-94-14</v>
      </c>
      <c r="B92" s="11" t="str">
        <f>IF(COUNTIF(Дела!$A:$A,ROW()-1)&gt;0,VLOOKUP(ROW()-1,Дела!$A:$F,6,0),"")</f>
        <v>А40-35910/2024</v>
      </c>
      <c r="C92" s="11" t="str">
        <f>IF(COUNTIF(Дела!$A:$A,ROW()-1)&gt;0,VLOOKUP(ROW()-1,Дела!$A:$G,7,0),"")</f>
        <v>АО "Концерн "Созвездие"</v>
      </c>
      <c r="D92" s="11" t="str">
        <f>IF(COUNTIF(Дела!$A:$A,ROW()-1)&gt;0,VLOOKUP(ROW()-1,Дела!$A:$I,9,0),"")</f>
        <v>ФГУП "18 ЦНИИ" МО РФ</v>
      </c>
      <c r="E92" s="11" t="str">
        <f t="shared" si="1"/>
        <v>Олег Викторович</v>
      </c>
      <c r="F92" s="12">
        <f>IF(COUNTIF(Дела!$A:$A,ROW()-1)&gt;0,VLOOKUP(ROW()-1,Дела!$A:$M,13,0),"")</f>
        <v>1416698.45</v>
      </c>
      <c r="G92" s="13">
        <f>IF(COUNTIF(Дела!$A:$A,ROW()-1)&gt;0,VLOOKUP(ROW()-1,Дела!$A:$N,14,0),"")</f>
        <v>45343</v>
      </c>
      <c r="H92" s="11" t="str">
        <f>IF(COUNTIF(Дела!$A:$A,ROW()-1)&gt;0,VLOOKUP(ROW()-1,Дела!$A:$K,11,0),"")</f>
        <v>Швыдя Олег Викторович</v>
      </c>
    </row>
    <row r="93" spans="1:8" ht="150" x14ac:dyDescent="0.25">
      <c r="A93" s="11" t="str">
        <f>IF(COUNTIF(Дела!$A:$A,ROW()-1)&gt;0,VLOOKUP(ROW()-1,Дела!$A:$C,3,0),"")</f>
        <v>+7 (495) 123-45-67_x000D_
+7 (495) 504-23-41_x000D_
+7 (903) 180-70-00_x000D_
+7 (495) 640-16-79_x000D_
+7 (916) 136-22-67</v>
      </c>
      <c r="B93" s="11" t="str">
        <f>IF(COUNTIF(Дела!$A:$A,ROW()-1)&gt;0,VLOOKUP(ROW()-1,Дела!$A:$F,6,0),"")</f>
        <v>А40-35832/2024</v>
      </c>
      <c r="C93" s="11" t="str">
        <f>IF(COUNTIF(Дела!$A:$A,ROW()-1)&gt;0,VLOOKUP(ROW()-1,Дела!$A:$G,7,0),"")</f>
        <v>ООО "Ситистройтандем"</v>
      </c>
      <c r="D93" s="11" t="str">
        <f>IF(COUNTIF(Дела!$A:$A,ROW()-1)&gt;0,VLOOKUP(ROW()-1,Дела!$A:$I,9,0),"")</f>
        <v>ООО "Эко Холдинг"</v>
      </c>
      <c r="E93" s="11" t="str">
        <f t="shared" si="1"/>
        <v>Виталий Николаевич</v>
      </c>
      <c r="F93" s="12">
        <f>IF(COUNTIF(Дела!$A:$A,ROW()-1)&gt;0,VLOOKUP(ROW()-1,Дела!$A:$M,13,0),"")</f>
        <v>719880</v>
      </c>
      <c r="G93" s="13">
        <f>IF(COUNTIF(Дела!$A:$A,ROW()-1)&gt;0,VLOOKUP(ROW()-1,Дела!$A:$N,14,0),"")</f>
        <v>45343</v>
      </c>
      <c r="H93" s="11" t="str">
        <f>IF(COUNTIF(Дела!$A:$A,ROW()-1)&gt;0,VLOOKUP(ROW()-1,Дела!$A:$K,11,0),"")</f>
        <v>Башмаков Виталий Николаевич</v>
      </c>
    </row>
    <row r="94" spans="1:8" ht="210" x14ac:dyDescent="0.25">
      <c r="A94" s="11" t="str">
        <f>IF(COUNTIF(Дела!$A:$A,ROW()-1)&gt;0,VLOOKUP(ROW()-1,Дела!$A:$C,3,0),"")</f>
        <v>+7 (495) 643-10-22_x000D_
+7 (495) 545-37-36_x000D_
+7 (495) 643-10-22, доб 5277_x000D_
+7 (495) 643-10-22, доб 5401_x000D_
+7 (922) 462-14-87_x000D_
+7 (926) 912-06-78_x000D_
+7 (495) 643-10-16, доб 5067</v>
      </c>
      <c r="B94" s="11" t="str">
        <f>IF(COUNTIF(Дела!$A:$A,ROW()-1)&gt;0,VLOOKUP(ROW()-1,Дела!$A:$F,6,0),"")</f>
        <v>А40-35918/2024</v>
      </c>
      <c r="C94" s="11" t="str">
        <f>IF(COUNTIF(Дела!$A:$A,ROW()-1)&gt;0,VLOOKUP(ROW()-1,Дела!$A:$G,7,0),"")</f>
        <v>ООО "Всеинструменты.Ру"</v>
      </c>
      <c r="D94" s="11" t="str">
        <f>IF(COUNTIF(Дела!$A:$A,ROW()-1)&gt;0,VLOOKUP(ROW()-1,Дела!$A:$I,9,0),"")</f>
        <v>ООО "НСГД"</v>
      </c>
      <c r="E94" s="11" t="str">
        <f t="shared" si="1"/>
        <v>Руслан Рафкатович</v>
      </c>
      <c r="F94" s="12">
        <f>IF(COUNTIF(Дела!$A:$A,ROW()-1)&gt;0,VLOOKUP(ROW()-1,Дела!$A:$M,13,0),"")</f>
        <v>1528319.42</v>
      </c>
      <c r="G94" s="13">
        <f>IF(COUNTIF(Дела!$A:$A,ROW()-1)&gt;0,VLOOKUP(ROW()-1,Дела!$A:$N,14,0),"")</f>
        <v>45343</v>
      </c>
      <c r="H94" s="11" t="str">
        <f>IF(COUNTIF(Дела!$A:$A,ROW()-1)&gt;0,VLOOKUP(ROW()-1,Дела!$A:$K,11,0),"")</f>
        <v>Гафаров Руслан Рафкатович</v>
      </c>
    </row>
    <row r="95" spans="1:8" ht="409.5" x14ac:dyDescent="0.25">
      <c r="A95" s="11" t="str">
        <f>IF(COUNTIF(Дела!$A:$A,ROW()-1)&gt;0,VLOOKUP(ROW()-1,Дела!$A:$C,3,0),"")</f>
        <v>+7 (495) 777-44-22_x000D_
+7 (499) 517-88-88_x000D_
+7 (499) 517-72-35_x000D_
+7 (499) 517-88-99_x000D_
+7 (495) 777-44-00_x000D_
+7 (495) 777-44-77_x000D_
+7 (495) 777-45-64_x000D_
+7 (495) 777-77-31_x000D_
+7 (499) 517-82-21_x000D_
+7 (499) 517-88-89_x000D_
+7 (4862) 43-21-76_x000D_
+7 (3463) 31-01-50_x000D_
+7 (34936) 3-18-99_x000D_
+7 (34936) 5-12-72_x000D_
+7 (4217) 56-52-04_x000D_
+7 (495) 730-35-13_x000D_
+7 (499) 515-32-40_x000D_
+7 (818) 221-75-42_x000D_
+7 (818) 221-75-45_x000D_
+7 (8612) 01-67-81_x000D_
+7 (86558) 2-22-83_x000D_
+7 (962) 493-63-41_x000D_
+7 (495) 517-88-99_x000D_
+7 (499) 951-78-89, доб 9_x000D_
+7 (499) 514-88-99_x000D_
+7 (926) 007-17-09_x000D_
+7 (499) 517-86-53_x000D_
+7 (499) 514-40-94_x000D_
+7 (916) 713-44-00_x000D_
+7 (495) 239-88-00_x000D_
+7 (499) 517-81-09_x000D_
+7 (499) 517-82-12_x000D_
+7 (499) 518-88-88_x000D_
+7 (499) 517-88-11_x000D_
+7 (495) 748-64-24_x000D_
+7 (499) 513-31-36_x000D_
+7 (499) 517-80-80_x000D_
+7 (495) 777-45-57_x000D_
+7 (499) 513-53-54_x000D_
+7 (499) 777-44-22_x000D_
+7 (495) 230-29-45_x000D_
+7 (495) 777-46-01_x000D_
+7 (495) 980-59-00, доб 1165_x000D_
+7 (499) 517-86-34_x000D_
+7 (499) 517-88-59_x000D_
+7 (495) 411-05-04_x000D_
+7 (499) 517-88-65_x000D_
+7 (495) 987-30-60_x000D_
+7 (495) 777-44-22, доб 6_x000D_
8 (800) 500-11-00_x000D_
+7 (495) 517-88-88_x000D_
+7 (499) 517-88-88, доб 9655_x000D_
+7 (499) 517-88-88, доб 9429_x000D_
+7 (495) 212-05-68_x000D_
+7 (499) 555-55-55</v>
      </c>
      <c r="B95" s="11" t="str">
        <f>IF(COUNTIF(Дела!$A:$A,ROW()-1)&gt;0,VLOOKUP(ROW()-1,Дела!$A:$F,6,0),"")</f>
        <v>А40-35781/2024</v>
      </c>
      <c r="C95" s="11" t="str">
        <f>IF(COUNTIF(Дела!$A:$A,ROW()-1)&gt;0,VLOOKUP(ROW()-1,Дела!$A:$G,7,0),"")</f>
        <v>ГУП СО "Газовые Сети"</v>
      </c>
      <c r="D95" s="11" t="str">
        <f>IF(COUNTIF(Дела!$A:$A,ROW()-1)&gt;0,VLOOKUP(ROW()-1,Дела!$A:$I,9,0),"")</f>
        <v>ПАО "НК "Роснефть"</v>
      </c>
      <c r="E95" s="11" t="str">
        <f t="shared" si="1"/>
        <v>Игорь Иванович</v>
      </c>
      <c r="F95" s="12">
        <f>IF(COUNTIF(Дела!$A:$A,ROW()-1)&gt;0,VLOOKUP(ROW()-1,Дела!$A:$M,13,0),"")</f>
        <v>6461193.8300000001</v>
      </c>
      <c r="G95" s="13">
        <f>IF(COUNTIF(Дела!$A:$A,ROW()-1)&gt;0,VLOOKUP(ROW()-1,Дела!$A:$N,14,0),"")</f>
        <v>45343</v>
      </c>
      <c r="H95" s="11" t="str">
        <f>IF(COUNTIF(Дела!$A:$A,ROW()-1)&gt;0,VLOOKUP(ROW()-1,Дела!$A:$K,11,0),"")</f>
        <v>Сечин Игорь Иванович</v>
      </c>
    </row>
    <row r="96" spans="1:8" ht="120" x14ac:dyDescent="0.25">
      <c r="A96" s="11" t="str">
        <f>IF(COUNTIF(Дела!$A:$A,ROW()-1)&gt;0,VLOOKUP(ROW()-1,Дела!$A:$C,3,0),"")</f>
        <v>+7 (495) 789-68-34_x000D_
+7 (495) 789-68-34, доб 7_x000D_
+7 (985) 767-90-75, доб 39_x000D_
+7 (495) 789-85-76</v>
      </c>
      <c r="B96" s="11" t="str">
        <f>IF(COUNTIF(Дела!$A:$A,ROW()-1)&gt;0,VLOOKUP(ROW()-1,Дела!$A:$F,6,0),"")</f>
        <v>А40-36179/2024</v>
      </c>
      <c r="C96" s="11" t="str">
        <f>IF(COUNTIF(Дела!$A:$A,ROW()-1)&gt;0,VLOOKUP(ROW()-1,Дела!$A:$G,7,0),"")</f>
        <v>ООО "Энергоальянс"</v>
      </c>
      <c r="D96" s="11" t="str">
        <f>IF(COUNTIF(Дела!$A:$A,ROW()-1)&gt;0,VLOOKUP(ROW()-1,Дела!$A:$I,9,0),"")</f>
        <v>ООО "ТИС-Энерго"</v>
      </c>
      <c r="E96" s="11" t="str">
        <f t="shared" si="1"/>
        <v>Александр Андреевич</v>
      </c>
      <c r="F96" s="12">
        <f>IF(COUNTIF(Дела!$A:$A,ROW()-1)&gt;0,VLOOKUP(ROW()-1,Дела!$A:$M,13,0),"")</f>
        <v>726640.15</v>
      </c>
      <c r="G96" s="13">
        <f>IF(COUNTIF(Дела!$A:$A,ROW()-1)&gt;0,VLOOKUP(ROW()-1,Дела!$A:$N,14,0),"")</f>
        <v>45344</v>
      </c>
      <c r="H96" s="11" t="str">
        <f>IF(COUNTIF(Дела!$A:$A,ROW()-1)&gt;0,VLOOKUP(ROW()-1,Дела!$A:$K,11,0),"")</f>
        <v>Лукин Александр Андреевич</v>
      </c>
    </row>
    <row r="97" spans="1:8" ht="60" x14ac:dyDescent="0.25">
      <c r="A97" s="11" t="str">
        <f>IF(COUNTIF(Дела!$A:$A,ROW()-1)&gt;0,VLOOKUP(ROW()-1,Дела!$A:$C,3,0),"")</f>
        <v>+7 (968) 604-47-93_x000D_
+7 (495) 662-94-93</v>
      </c>
      <c r="B97" s="11" t="str">
        <f>IF(COUNTIF(Дела!$A:$A,ROW()-1)&gt;0,VLOOKUP(ROW()-1,Дела!$A:$F,6,0),"")</f>
        <v>А40-36185/2024</v>
      </c>
      <c r="C97" s="11" t="str">
        <f>IF(COUNTIF(Дела!$A:$A,ROW()-1)&gt;0,VLOOKUP(ROW()-1,Дела!$A:$G,7,0),"")</f>
        <v>ООО "ПИИ Лигато"</v>
      </c>
      <c r="D97" s="11" t="str">
        <f>IF(COUNTIF(Дела!$A:$A,ROW()-1)&gt;0,VLOOKUP(ROW()-1,Дела!$A:$I,9,0),"")</f>
        <v>ООО "Союз Проект"</v>
      </c>
      <c r="E97" s="11" t="str">
        <f t="shared" si="1"/>
        <v>Николай Николаевич</v>
      </c>
      <c r="F97" s="12">
        <f>IF(COUNTIF(Дела!$A:$A,ROW()-1)&gt;0,VLOOKUP(ROW()-1,Дела!$A:$M,13,0),"")</f>
        <v>11507948</v>
      </c>
      <c r="G97" s="13">
        <f>IF(COUNTIF(Дела!$A:$A,ROW()-1)&gt;0,VLOOKUP(ROW()-1,Дела!$A:$N,14,0),"")</f>
        <v>45344</v>
      </c>
      <c r="H97" s="11" t="str">
        <f>IF(COUNTIF(Дела!$A:$A,ROW()-1)&gt;0,VLOOKUP(ROW()-1,Дела!$A:$K,11,0),"")</f>
        <v>Демидов Николай Николаевич</v>
      </c>
    </row>
    <row r="98" spans="1:8" ht="30" x14ac:dyDescent="0.25">
      <c r="A98" s="11" t="str">
        <f>IF(COUNTIF(Дела!$A:$A,ROW()-1)&gt;0,VLOOKUP(ROW()-1,Дела!$A:$C,3,0),"")</f>
        <v>+7 (928) 625-84-95</v>
      </c>
      <c r="B98" s="11" t="str">
        <f>IF(COUNTIF(Дела!$A:$A,ROW()-1)&gt;0,VLOOKUP(ROW()-1,Дела!$A:$F,6,0),"")</f>
        <v>А40-35349/2024</v>
      </c>
      <c r="C98" s="11" t="str">
        <f>IF(COUNTIF(Дела!$A:$A,ROW()-1)&gt;0,VLOOKUP(ROW()-1,Дела!$A:$G,7,0),"")</f>
        <v>ООО "Артвайн"</v>
      </c>
      <c r="D98" s="11" t="str">
        <f>IF(COUNTIF(Дела!$A:$A,ROW()-1)&gt;0,VLOOKUP(ROW()-1,Дела!$A:$I,9,0),"")</f>
        <v>ООО "Победа61"</v>
      </c>
      <c r="E98" s="11" t="str">
        <f t="shared" si="1"/>
        <v>Сергей Николаевич</v>
      </c>
      <c r="F98" s="12">
        <f>IF(COUNTIF(Дела!$A:$A,ROW()-1)&gt;0,VLOOKUP(ROW()-1,Дела!$A:$M,13,0),"")</f>
        <v>1281954.17</v>
      </c>
      <c r="G98" s="13">
        <f>IF(COUNTIF(Дела!$A:$A,ROW()-1)&gt;0,VLOOKUP(ROW()-1,Дела!$A:$N,14,0),"")</f>
        <v>45343</v>
      </c>
      <c r="H98" s="11" t="str">
        <f>IF(COUNTIF(Дела!$A:$A,ROW()-1)&gt;0,VLOOKUP(ROW()-1,Дела!$A:$K,11,0),"")</f>
        <v>Холопов Сергей Николаевич</v>
      </c>
    </row>
    <row r="99" spans="1:8" ht="60" x14ac:dyDescent="0.25">
      <c r="A99" s="11" t="str">
        <f>IF(COUNTIF(Дела!$A:$A,ROW()-1)&gt;0,VLOOKUP(ROW()-1,Дела!$A:$C,3,0),"")</f>
        <v>+7 (499) 144-98-08_x000D_
+7 (499) 144-97-82</v>
      </c>
      <c r="B99" s="11" t="str">
        <f>IF(COUNTIF(Дела!$A:$A,ROW()-1)&gt;0,VLOOKUP(ROW()-1,Дела!$A:$F,6,0),"")</f>
        <v>А40-36216/2024</v>
      </c>
      <c r="C99" s="11" t="str">
        <f>IF(COUNTIF(Дела!$A:$A,ROW()-1)&gt;0,VLOOKUP(ROW()-1,Дела!$A:$G,7,0),"")</f>
        <v>Департамент городского Имущества Города Москвы</v>
      </c>
      <c r="D99" s="11" t="str">
        <f>IF(COUNTIF(Дела!$A:$A,ROW()-1)&gt;0,VLOOKUP(ROW()-1,Дела!$A:$I,9,0),"")</f>
        <v>ООО НПКК "М &amp; к"</v>
      </c>
      <c r="E99" s="11" t="str">
        <f t="shared" si="1"/>
        <v>Владимир Андреевич</v>
      </c>
      <c r="F99" s="12">
        <f>IF(COUNTIF(Дела!$A:$A,ROW()-1)&gt;0,VLOOKUP(ROW()-1,Дела!$A:$M,13,0),"")</f>
        <v>7747254.8499999996</v>
      </c>
      <c r="G99" s="13">
        <f>IF(COUNTIF(Дела!$A:$A,ROW()-1)&gt;0,VLOOKUP(ROW()-1,Дела!$A:$N,14,0),"")</f>
        <v>45344</v>
      </c>
      <c r="H99" s="11" t="str">
        <f>IF(COUNTIF(Дела!$A:$A,ROW()-1)&gt;0,VLOOKUP(ROW()-1,Дела!$A:$K,11,0),"")</f>
        <v>Коломийцев Владимир Андреевич</v>
      </c>
    </row>
    <row r="100" spans="1:8" ht="30" x14ac:dyDescent="0.25">
      <c r="A100" s="11">
        <f>IF(COUNTIF(Дела!$A:$A,ROW()-1)&gt;0,VLOOKUP(ROW()-1,Дела!$A:$C,3,0),"")</f>
        <v>0</v>
      </c>
      <c r="B100" s="11" t="str">
        <f>IF(COUNTIF(Дела!$A:$A,ROW()-1)&gt;0,VLOOKUP(ROW()-1,Дела!$A:$F,6,0),"")</f>
        <v>А40-36199/2024</v>
      </c>
      <c r="C100" s="11" t="str">
        <f>IF(COUNTIF(Дела!$A:$A,ROW()-1)&gt;0,VLOOKUP(ROW()-1,Дела!$A:$G,7,0),"")</f>
        <v>ООО"Группа Полимертепло"</v>
      </c>
      <c r="D100" s="11" t="str">
        <f>IF(COUNTIF(Дела!$A:$A,ROW()-1)&gt;0,VLOOKUP(ROW()-1,Дела!$A:$I,9,0),"")</f>
        <v>ООО "Инженерные Решения"</v>
      </c>
      <c r="E100" s="11" t="str">
        <f t="shared" si="1"/>
        <v>Александр Сергеевич</v>
      </c>
      <c r="F100" s="12">
        <f>IF(COUNTIF(Дела!$A:$A,ROW()-1)&gt;0,VLOOKUP(ROW()-1,Дела!$A:$M,13,0),"")</f>
        <v>4546705.47</v>
      </c>
      <c r="G100" s="13">
        <f>IF(COUNTIF(Дела!$A:$A,ROW()-1)&gt;0,VLOOKUP(ROW()-1,Дела!$A:$N,14,0),"")</f>
        <v>45344</v>
      </c>
      <c r="H100" s="11" t="str">
        <f>IF(COUNTIF(Дела!$A:$A,ROW()-1)&gt;0,VLOOKUP(ROW()-1,Дела!$A:$K,11,0),"")</f>
        <v>Семкин Александр Сергеевич</v>
      </c>
    </row>
    <row r="101" spans="1:8" ht="409.5" x14ac:dyDescent="0.25">
      <c r="A101" s="11" t="str">
        <f>IF(COUNTIF(Дела!$A:$A,ROW()-1)&gt;0,VLOOKUP(ROW()-1,Дела!$A:$C,3,0),"")</f>
        <v>+7 (495) 696-16-50_x000D_
+7 (4752) 70-07-00_x000D_
+7 (4212) 45-43-74_x000D_
+7 (4212) 45-43-80_x000D_
+7 (495) 987-01-01_x000D_
+7 (978) 007-47-38_x000D_
+7 (495) 696-01-91_x000D_
+7 (495) 696-77-24_x000D_
+7 (926) 360-63-63_x000D_
+7 (495) 696-01-90_x000D_
+7 (495) 540-94-70_x000D_
+7 (495) 696-07-04_x000D_
+7 (495) 877-55-67_x000D_
+7 (495) 877-55-55</v>
      </c>
      <c r="B101" s="11" t="str">
        <f>IF(COUNTIF(Дела!$A:$A,ROW()-1)&gt;0,VLOOKUP(ROW()-1,Дела!$A:$F,6,0),"")</f>
        <v>А40-35183/2024</v>
      </c>
      <c r="C101" s="11" t="str">
        <f>IF(COUNTIF(Дела!$A:$A,ROW()-1)&gt;0,VLOOKUP(ROW()-1,Дела!$A:$G,7,0),"")</f>
        <v>МКП ВГО "Вилючинский Водоканал"</v>
      </c>
      <c r="D101" s="11" t="str">
        <f>IF(COUNTIF(Дела!$A:$A,ROW()-1)&gt;0,VLOOKUP(ROW()-1,Дела!$A:$I,9,0),"")</f>
        <v>ФКП "Управление Заказчика КС Минобороны России"</v>
      </c>
      <c r="E101" s="11" t="str">
        <f t="shared" si="1"/>
        <v>Александр Павлович</v>
      </c>
      <c r="F101" s="12">
        <f>IF(COUNTIF(Дела!$A:$A,ROW()-1)&gt;0,VLOOKUP(ROW()-1,Дела!$A:$M,13,0),"")</f>
        <v>666306.89</v>
      </c>
      <c r="G101" s="13">
        <f>IF(COUNTIF(Дела!$A:$A,ROW()-1)&gt;0,VLOOKUP(ROW()-1,Дела!$A:$N,14,0),"")</f>
        <v>45343</v>
      </c>
      <c r="H101" s="11" t="str">
        <f>IF(COUNTIF(Дела!$A:$A,ROW()-1)&gt;0,VLOOKUP(ROW()-1,Дела!$A:$K,11,0),"")</f>
        <v>Дьяков Александр Павлович</v>
      </c>
    </row>
    <row r="102" spans="1:8" ht="45" x14ac:dyDescent="0.25">
      <c r="A102" s="11">
        <f>IF(COUNTIF(Дела!$A:$A,ROW()-1)&gt;0,VLOOKUP(ROW()-1,Дела!$A:$C,3,0),"")</f>
        <v>0</v>
      </c>
      <c r="B102" s="11" t="str">
        <f>IF(COUNTIF(Дела!$A:$A,ROW()-1)&gt;0,VLOOKUP(ROW()-1,Дела!$A:$F,6,0),"")</f>
        <v>А40-35135/2024</v>
      </c>
      <c r="C102" s="11" t="str">
        <f>IF(COUNTIF(Дела!$A:$A,ROW()-1)&gt;0,VLOOKUP(ROW()-1,Дела!$A:$G,7,0),"")</f>
        <v>ИП Ольховая Юлия Викторовна</v>
      </c>
      <c r="D102" s="11" t="str">
        <f>IF(COUNTIF(Дела!$A:$A,ROW()-1)&gt;0,VLOOKUP(ROW()-1,Дела!$A:$I,9,0),"")</f>
        <v>ООО "Вэйрэй"</v>
      </c>
      <c r="E102" s="11" t="str">
        <f t="shared" si="1"/>
        <v>Виталий Андреевич</v>
      </c>
      <c r="F102" s="12">
        <f>IF(COUNTIF(Дела!$A:$A,ROW()-1)&gt;0,VLOOKUP(ROW()-1,Дела!$A:$M,13,0),"")</f>
        <v>981160</v>
      </c>
      <c r="G102" s="13">
        <f>IF(COUNTIF(Дела!$A:$A,ROW()-1)&gt;0,VLOOKUP(ROW()-1,Дела!$A:$N,14,0),"")</f>
        <v>45343</v>
      </c>
      <c r="H102" s="11" t="str">
        <f>IF(COUNTIF(Дела!$A:$A,ROW()-1)&gt;0,VLOOKUP(ROW()-1,Дела!$A:$K,11,0),"")</f>
        <v>Пономарев Виталий Андреевич</v>
      </c>
    </row>
    <row r="103" spans="1:8" ht="409.5" x14ac:dyDescent="0.25">
      <c r="A103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03" s="11" t="str">
        <f>IF(COUNTIF(Дела!$A:$A,ROW()-1)&gt;0,VLOOKUP(ROW()-1,Дела!$A:$F,6,0),"")</f>
        <v>А40-35193/2024</v>
      </c>
      <c r="C103" s="11" t="str">
        <f>IF(COUNTIF(Дела!$A:$A,ROW()-1)&gt;0,VLOOKUP(ROW()-1,Дела!$A:$G,7,0),"")</f>
        <v>ООО "Новоморснаб"</v>
      </c>
      <c r="D103" s="11" t="str">
        <f>IF(COUNTIF(Дела!$A:$A,ROW()-1)&gt;0,VLOOKUP(ROW()-1,Дела!$A:$I,9,0),"")</f>
        <v>ОАО "РЖД"</v>
      </c>
      <c r="E103" s="11" t="str">
        <f t="shared" si="1"/>
        <v>Олег Валентинович</v>
      </c>
      <c r="F103" s="12">
        <f>IF(COUNTIF(Дела!$A:$A,ROW()-1)&gt;0,VLOOKUP(ROW()-1,Дела!$A:$M,13,0),"")</f>
        <v>1456640.54</v>
      </c>
      <c r="G103" s="13">
        <f>IF(COUNTIF(Дела!$A:$A,ROW()-1)&gt;0,VLOOKUP(ROW()-1,Дела!$A:$N,14,0),"")</f>
        <v>45343</v>
      </c>
      <c r="H103" s="11" t="str">
        <f>IF(COUNTIF(Дела!$A:$A,ROW()-1)&gt;0,VLOOKUP(ROW()-1,Дела!$A:$K,11,0),"")</f>
        <v>Белозёров Олег Валентинович</v>
      </c>
    </row>
    <row r="104" spans="1:8" ht="30" x14ac:dyDescent="0.25">
      <c r="A104" s="11">
        <f>IF(COUNTIF(Дела!$A:$A,ROW()-1)&gt;0,VLOOKUP(ROW()-1,Дела!$A:$C,3,0),"")</f>
        <v>0</v>
      </c>
      <c r="B104" s="11" t="str">
        <f>IF(COUNTIF(Дела!$A:$A,ROW()-1)&gt;0,VLOOKUP(ROW()-1,Дела!$A:$F,6,0),"")</f>
        <v>А40-35120/2024</v>
      </c>
      <c r="C104" s="11" t="str">
        <f>IF(COUNTIF(Дела!$A:$A,ROW()-1)&gt;0,VLOOKUP(ROW()-1,Дела!$A:$G,7,0),"")</f>
        <v>ПАО Сбербанк</v>
      </c>
      <c r="D104" s="11" t="str">
        <f>IF(COUNTIF(Дела!$A:$A,ROW()-1)&gt;0,VLOOKUP(ROW()-1,Дела!$A:$I,9,0),"")</f>
        <v>ООО "Брандтрейд"</v>
      </c>
      <c r="E104" s="11" t="str">
        <f t="shared" si="1"/>
        <v>Артем Александрович</v>
      </c>
      <c r="F104" s="12">
        <f>IF(COUNTIF(Дела!$A:$A,ROW()-1)&gt;0,VLOOKUP(ROW()-1,Дела!$A:$M,13,0),"")</f>
        <v>1415833.88</v>
      </c>
      <c r="G104" s="13">
        <f>IF(COUNTIF(Дела!$A:$A,ROW()-1)&gt;0,VLOOKUP(ROW()-1,Дела!$A:$N,14,0),"")</f>
        <v>45343</v>
      </c>
      <c r="H104" s="11" t="str">
        <f>IF(COUNTIF(Дела!$A:$A,ROW()-1)&gt;0,VLOOKUP(ROW()-1,Дела!$A:$K,11,0),"")</f>
        <v>Бекшаев Артем Александрович</v>
      </c>
    </row>
    <row r="105" spans="1:8" ht="409.5" x14ac:dyDescent="0.25">
      <c r="A105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05" s="11" t="str">
        <f>IF(COUNTIF(Дела!$A:$A,ROW()-1)&gt;0,VLOOKUP(ROW()-1,Дела!$A:$F,6,0),"")</f>
        <v>А40-36970/2024</v>
      </c>
      <c r="C105" s="11" t="str">
        <f>IF(COUNTIF(Дела!$A:$A,ROW()-1)&gt;0,VLOOKUP(ROW()-1,Дела!$A:$G,7,0),"")</f>
        <v>ООО "РСТ"</v>
      </c>
      <c r="D105" s="11" t="str">
        <f>IF(COUNTIF(Дела!$A:$A,ROW()-1)&gt;0,VLOOKUP(ROW()-1,Дела!$A:$I,9,0),"")</f>
        <v>ОАО "РЖД"</v>
      </c>
      <c r="E105" s="11" t="str">
        <f t="shared" si="1"/>
        <v>Олег Валентинович</v>
      </c>
      <c r="F105" s="12">
        <f>IF(COUNTIF(Дела!$A:$A,ROW()-1)&gt;0,VLOOKUP(ROW()-1,Дела!$A:$M,13,0),"")</f>
        <v>1603452.14</v>
      </c>
      <c r="G105" s="13">
        <f>IF(COUNTIF(Дела!$A:$A,ROW()-1)&gt;0,VLOOKUP(ROW()-1,Дела!$A:$N,14,0),"")</f>
        <v>45344</v>
      </c>
      <c r="H105" s="11" t="str">
        <f>IF(COUNTIF(Дела!$A:$A,ROW()-1)&gt;0,VLOOKUP(ROW()-1,Дела!$A:$K,11,0),"")</f>
        <v>Белозёров Олег Валентинович</v>
      </c>
    </row>
    <row r="106" spans="1:8" ht="409.5" x14ac:dyDescent="0.25">
      <c r="A106" s="11" t="str">
        <f>IF(COUNTIF(Дела!$A:$A,ROW()-1)&gt;0,VLOOKUP(ROW()-1,Дела!$A:$C,3,0),"")</f>
        <v>+7 (495) 699-72-50_x000D_
+7 (495) 959-18-02_x000D_
+7 (495) 331-02-22_x000D_
+7 (495) 587-70-87_x000D_
+7 (495) 625-45-13_x000D_
+7 (495) 634-01-27_x000D_
+7 (495) 675-46-24_x000D_
+7 (495) 953-21-56_x000D_
+7 (495) 957-75-00_x000D_
+7 (495) 959-09-75_x000D_
+7 (495) 959-19-03_x000D_
+7 (495) 959-19-13_x000D_
+7 (495) 959-19-59_x000D_
+7 (495) 959-53-39_x000D_
+7 (499) 268-56-70_x000D_
+7 (499) 380-80-84_x000D_
+7 (495) 625-45-15_x000D_
+7 (495) 777-77-77_x000D_
+7 (495) 699-20-48_x000D_
+7 (495) 362-14-63_x000D_
+7 (495) 959-19-82_x000D_
+7 (495) 957-98-53_x000D_
+7 (499) 648-05-64_x000D_
+7 (495) 959-18-88_x000D_
+7 (499) 233-97-39_x000D_
+7 (495) 959-19-55_x000D_
+7 (495) 955-53-08_x000D_
+7 (495) 122-19-27, доб 1302_x000D_
+7 (495) 955-53-79_x000D_
+7 (495) 955-51-96_x000D_
+7 (495) 955-53-68_x000D_
+7 (495) 142-12-32_x000D_
+7 (499) 649-39-23_x000D_
+7 (499) 959-18-02_x000D_
+7 (495) 959-18-22_x000D_
+7 (495) 777-77-77, доб 7_x000D_
+7 (499) 000-00-00_x000D_
+7 (495) 957-99-77</v>
      </c>
      <c r="B106" s="11" t="str">
        <f>IF(COUNTIF(Дела!$A:$A,ROW()-1)&gt;0,VLOOKUP(ROW()-1,Дела!$A:$F,6,0),"")</f>
        <v>А40-36968/2024</v>
      </c>
      <c r="C106" s="11" t="str">
        <f>IF(COUNTIF(Дела!$A:$A,ROW()-1)&gt;0,VLOOKUP(ROW()-1,Дела!$A:$G,7,0),"")</f>
        <v>ПАО "МОЭК"</v>
      </c>
      <c r="D106" s="11" t="str">
        <f>IF(COUNTIF(Дела!$A:$A,ROW()-1)&gt;0,VLOOKUP(ROW()-1,Дела!$A:$I,9,0),"")</f>
        <v>Департамент городского Имущества Города Москвы</v>
      </c>
      <c r="E106" s="11" t="str">
        <f t="shared" si="1"/>
        <v>Максим Федорович</v>
      </c>
      <c r="F106" s="12">
        <f>IF(COUNTIF(Дела!$A:$A,ROW()-1)&gt;0,VLOOKUP(ROW()-1,Дела!$A:$M,13,0),"")</f>
        <v>3312401.15</v>
      </c>
      <c r="G106" s="13">
        <f>IF(COUNTIF(Дела!$A:$A,ROW()-1)&gt;0,VLOOKUP(ROW()-1,Дела!$A:$N,14,0),"")</f>
        <v>45344</v>
      </c>
      <c r="H106" s="11" t="str">
        <f>IF(COUNTIF(Дела!$A:$A,ROW()-1)&gt;0,VLOOKUP(ROW()-1,Дела!$A:$K,11,0),"")</f>
        <v>Гаман Максим Федорович</v>
      </c>
    </row>
    <row r="107" spans="1:8" ht="120" x14ac:dyDescent="0.25">
      <c r="A107" s="11" t="str">
        <f>IF(COUNTIF(Дела!$A:$A,ROW()-1)&gt;0,VLOOKUP(ROW()-1,Дела!$A:$C,3,0),"")</f>
        <v>+7 (499) 611-83-76_x000D_
+7 (909) 151-01-62_x000D_
+7 (909) 166-04-77_x000D_
+7 (929) 566-84-51</v>
      </c>
      <c r="B107" s="11" t="str">
        <f>IF(COUNTIF(Дела!$A:$A,ROW()-1)&gt;0,VLOOKUP(ROW()-1,Дела!$A:$F,6,0),"")</f>
        <v>А40-36924/2024</v>
      </c>
      <c r="C107" s="11" t="str">
        <f>IF(COUNTIF(Дела!$A:$A,ROW()-1)&gt;0,VLOOKUP(ROW()-1,Дела!$A:$G,7,0),"")</f>
        <v>ООО "Управление Строительства"</v>
      </c>
      <c r="D107" s="11" t="str">
        <f>IF(COUNTIF(Дела!$A:$A,ROW()-1)&gt;0,VLOOKUP(ROW()-1,Дела!$A:$I,9,0),"")</f>
        <v>ООО "Строй Система"</v>
      </c>
      <c r="E107" s="11" t="str">
        <f t="shared" si="1"/>
        <v>Денис Владиславович</v>
      </c>
      <c r="F107" s="12">
        <f>IF(COUNTIF(Дела!$A:$A,ROW()-1)&gt;0,VLOOKUP(ROW()-1,Дела!$A:$M,13,0),"")</f>
        <v>500003.28</v>
      </c>
      <c r="G107" s="13">
        <f>IF(COUNTIF(Дела!$A:$A,ROW()-1)&gt;0,VLOOKUP(ROW()-1,Дела!$A:$N,14,0),"")</f>
        <v>45344</v>
      </c>
      <c r="H107" s="11" t="str">
        <f>IF(COUNTIF(Дела!$A:$A,ROW()-1)&gt;0,VLOOKUP(ROW()-1,Дела!$A:$K,11,0),"")</f>
        <v>Орлов Денис Владиславович</v>
      </c>
    </row>
    <row r="108" spans="1:8" ht="90" x14ac:dyDescent="0.25">
      <c r="A108" s="11" t="str">
        <f>IF(COUNTIF(Дела!$A:$A,ROW()-1)&gt;0,VLOOKUP(ROW()-1,Дела!$A:$C,3,0),"")</f>
        <v>+7 (495) 221-66-72_x000D_
+7 (495) 221-66-71_x000D_
+7 (495) 935-73-27</v>
      </c>
      <c r="B108" s="11" t="str">
        <f>IF(COUNTIF(Дела!$A:$A,ROW()-1)&gt;0,VLOOKUP(ROW()-1,Дела!$A:$F,6,0),"")</f>
        <v>А40-36923/2024</v>
      </c>
      <c r="C108" s="11" t="str">
        <f>IF(COUNTIF(Дела!$A:$A,ROW()-1)&gt;0,VLOOKUP(ROW()-1,Дела!$A:$G,7,0),"")</f>
        <v>ООО "Академия Света"</v>
      </c>
      <c r="D108" s="11" t="str">
        <f>IF(COUNTIF(Дела!$A:$A,ROW()-1)&gt;0,VLOOKUP(ROW()-1,Дела!$A:$I,9,0),"")</f>
        <v>ООО "СТК"</v>
      </c>
      <c r="E108" s="11" t="str">
        <f t="shared" si="1"/>
        <v>Яна Валерьевна</v>
      </c>
      <c r="F108" s="12">
        <f>IF(COUNTIF(Дела!$A:$A,ROW()-1)&gt;0,VLOOKUP(ROW()-1,Дела!$A:$M,13,0),"")</f>
        <v>540514.88</v>
      </c>
      <c r="G108" s="13">
        <f>IF(COUNTIF(Дела!$A:$A,ROW()-1)&gt;0,VLOOKUP(ROW()-1,Дела!$A:$N,14,0),"")</f>
        <v>45344</v>
      </c>
      <c r="H108" s="11" t="str">
        <f>IF(COUNTIF(Дела!$A:$A,ROW()-1)&gt;0,VLOOKUP(ROW()-1,Дела!$A:$K,11,0),"")</f>
        <v>Черникова Яна Валерьевна</v>
      </c>
    </row>
    <row r="109" spans="1:8" ht="30" x14ac:dyDescent="0.25">
      <c r="A109" s="11" t="str">
        <f>IF(COUNTIF(Дела!$A:$A,ROW()-1)&gt;0,VLOOKUP(ROW()-1,Дела!$A:$C,3,0),"")</f>
        <v>+7 (495) 625-90-91</v>
      </c>
      <c r="B109" s="11" t="str">
        <f>IF(COUNTIF(Дела!$A:$A,ROW()-1)&gt;0,VLOOKUP(ROW()-1,Дела!$A:$F,6,0),"")</f>
        <v>А40-36949/2024</v>
      </c>
      <c r="C109" s="11" t="str">
        <f>IF(COUNTIF(Дела!$A:$A,ROW()-1)&gt;0,VLOOKUP(ROW()-1,Дела!$A:$G,7,0),"")</f>
        <v>ООО ТД "ХКА"</v>
      </c>
      <c r="D109" s="11" t="str">
        <f>IF(COUNTIF(Дела!$A:$A,ROW()-1)&gt;0,VLOOKUP(ROW()-1,Дела!$A:$I,9,0),"")</f>
        <v>АО "ТСК"</v>
      </c>
      <c r="E109" s="11" t="str">
        <f t="shared" si="1"/>
        <v>Сергей Николаевич</v>
      </c>
      <c r="F109" s="12">
        <f>IF(COUNTIF(Дела!$A:$A,ROW()-1)&gt;0,VLOOKUP(ROW()-1,Дела!$A:$M,13,0),"")</f>
        <v>20063282.52</v>
      </c>
      <c r="G109" s="13">
        <f>IF(COUNTIF(Дела!$A:$A,ROW()-1)&gt;0,VLOOKUP(ROW()-1,Дела!$A:$N,14,0),"")</f>
        <v>45344</v>
      </c>
      <c r="H109" s="11" t="str">
        <f>IF(COUNTIF(Дела!$A:$A,ROW()-1)&gt;0,VLOOKUP(ROW()-1,Дела!$A:$K,11,0),"")</f>
        <v>Осипов Сергей Николаевич</v>
      </c>
    </row>
    <row r="110" spans="1:8" ht="409.5" x14ac:dyDescent="0.25">
      <c r="A110" s="11" t="str">
        <f>IF(COUNTIF(Дела!$A:$A,ROW()-1)&gt;0,VLOOKUP(ROW()-1,Дела!$A:$C,3,0),"")</f>
        <v>+7 (3012) 41-54-15_x000D_
+7 (3812) 94-83-95_x000D_
+7 (416) 222-31-03_x000D_
+7 (4822) 77-70-67_x000D_
+7 (4872) 36-00-25_x000D_
+7 (8362) 45-04-03_x000D_
+7 (8442) 93-09-69_x000D_
+7 (495) 258-46-01_x000D_
+7 (3852) 39-91-61_x000D_
+7 (495) 123-45-67_x000D_
+7 (3452) 39-62-00_x000D_
+7 (3912) 70-77-00_x000D_
+7 (3912) 70-77-07_x000D_
+7 (3912) 70-77-36_x000D_
+7 (4722) 58-02-00_x000D_
+7 (4722) 58-02-01_x000D_
+7 (4852) 45-88-99_x000D_
+7 (495) 737-65-17_x000D_
+7 (495) 739-77-99_x000D_
+7 (495) 980-46-66_x000D_
+7 (812) 324-11-28_x000D_
+7 (812) 329-83-62_x000D_
+7 (812) 571-61-83_x000D_
+7 (8422) 41-62-06_x000D_
+7 (920) 068-88-14_x000D_
+7 (984) 212-98-00, доб 81_x000D_
+7 (342) 237-77-88_x000D_
+7 (343) 379-66-95_x000D_
+7 (3852) 39-91-64_x000D_
+7 (3952) 24-17-80_x000D_
+7 (4012) 35-01-11_x000D_
+7 (4112) 35-50-17_x000D_
+7 (413) 260-73-34_x000D_
+7 (4212) 41-36-01_x000D_
+7 (4242) 72-28-58_x000D_
+7 (4732) 53-19-26_x000D_
+7 (4812) 49-96-66_x000D_
+7 (4832) 66-05-05_x000D_
+7 (4842) 56-50-85_x000D_
+7 (4912) 24-80-00_x000D_
+7 (4922) 32-09-70_x000D_
+7 (4942) 31-76-46_x000D_
+7 (8112) 72-25-76_x000D_
+7 (812) 329-83-81_x000D_
+7 (812) 494-94-54_x000D_
+7 (8172) 72-81-18_x000D_
+7 (8172) 72-81-95_x000D_
+7 (83142) 8-04-38_x000D_
+7 (8412) 52-03-53_x000D_
+7 (8452) 48-98-28_x000D_
+7 (863) 297-27-28_x000D_
+7 (8652) 26-17-54_x000D_
+7 (953) 515-77-99_x000D_
+7 (985) 762-58-41_x000D_
8 (800) 100-24-24_x000D_
8 (800) 200-77-99_x000D_
+7 (4712) 36-05-00_x000D_
+7 (4922) 44-34-10_x000D_
+7 (833) 265-09-66_x000D_
+7 (83142) 8-18-01_x000D_
+7 (812) 710-49-61_x000D_
+7 (812) 324-11-27_x000D_
+7 (3822) 56-40-58_x000D_
+7 (4732) 53-32-99_x000D_
+7 (416) 222-31-27_x000D_
+7 (416) 222-34-10_x000D_
+7 (3022) 36-90-02_x000D_
+7 (812) 320-07-75_x000D_
+7 (8142) 76-20-36_x000D_
+7 (8452) 48-98-38_x000D_
+7 (8612) 79-57-17_x000D_
+7 (3952) 24-16-72_x000D_
+7 (343) 383-35-82_x000D_
+7 (416) 222-34-10, доб 4162_x000D_
+7 (3012) 28-57-07_x000D_
+7 (3012) 55-99-06_x000D_
+7 (343) 359-17-55_x000D_
+7 (343) 379-66-02_x000D_
+7 (343) 386-26-27_x000D_
+7 (3532) 68-49-92_x000D_
+7 (35372) 7-17-18_x000D_
+7 (35372) 7-17-20_x000D_
+7 (3812) 94-82-21_x000D_
+7 (383) 202-10-02_x000D_
+7 (383) 206-08-50_x000D_
+7 (383) 210-08-69_x000D_
+7 (3912) 25-60-82, доб 2_x000D_
+7 (3912) 26-68-80, доб 1_x000D_
+7 (4012) 35-01-80_x000D_
+7 (4112) 36-73-00_x000D_
+7 (416) 222-31-68_x000D_
+7 (416) 253-61-04_x000D_
+7 (4212) 70-33-57_x000D_
+7 (4242) 46-22-42_x000D_
+7 (4712) 36-05-25_x000D_
+7 (4732) 61-86-04_x000D_
+7 (4752) 47-22-48_x000D_
+7 (4752) 63-20-41_x000D_
+7 (4752) 71-96-39_x000D_
+7 (4812) 49-96-01</v>
      </c>
      <c r="B110" s="11" t="str">
        <f>IF(COUNTIF(Дела!$A:$A,ROW()-1)&gt;0,VLOOKUP(ROW()-1,Дела!$A:$F,6,0),"")</f>
        <v>А40-36866/2024</v>
      </c>
      <c r="C110" s="11" t="str">
        <f>IF(COUNTIF(Дела!$A:$A,ROW()-1)&gt;0,VLOOKUP(ROW()-1,Дела!$A:$G,7,0),"")</f>
        <v>ИП Афанасьева Анна Владимировна</v>
      </c>
      <c r="D110" s="11" t="str">
        <f>IF(COUNTIF(Дела!$A:$A,ROW()-1)&gt;0,VLOOKUP(ROW()-1,Дела!$A:$I,9,0),"")</f>
        <v>Банк ВТБ (ПАО)</v>
      </c>
      <c r="E110" s="11" t="str">
        <f t="shared" si="1"/>
        <v>Андрей Леонидович</v>
      </c>
      <c r="F110" s="12">
        <f>IF(COUNTIF(Дела!$A:$A,ROW()-1)&gt;0,VLOOKUP(ROW()-1,Дела!$A:$M,13,0),"")</f>
        <v>521041.68</v>
      </c>
      <c r="G110" s="13">
        <f>IF(COUNTIF(Дела!$A:$A,ROW()-1)&gt;0,VLOOKUP(ROW()-1,Дела!$A:$N,14,0),"")</f>
        <v>45344</v>
      </c>
      <c r="H110" s="11" t="str">
        <f>IF(COUNTIF(Дела!$A:$A,ROW()-1)&gt;0,VLOOKUP(ROW()-1,Дела!$A:$K,11,0),"")</f>
        <v>Костин Андрей Леонидович</v>
      </c>
    </row>
    <row r="111" spans="1:8" ht="45" x14ac:dyDescent="0.25">
      <c r="A111" s="11">
        <f>IF(COUNTIF(Дела!$A:$A,ROW()-1)&gt;0,VLOOKUP(ROW()-1,Дела!$A:$C,3,0),"")</f>
        <v>0</v>
      </c>
      <c r="B111" s="11" t="str">
        <f>IF(COUNTIF(Дела!$A:$A,ROW()-1)&gt;0,VLOOKUP(ROW()-1,Дела!$A:$F,6,0),"")</f>
        <v>А40-36882/2024</v>
      </c>
      <c r="C111" s="11" t="str">
        <f>IF(COUNTIF(Дела!$A:$A,ROW()-1)&gt;0,VLOOKUP(ROW()-1,Дела!$A:$G,7,0),"")</f>
        <v>ПАО Сбербанк</v>
      </c>
      <c r="D111" s="11" t="str">
        <f>IF(COUNTIF(Дела!$A:$A,ROW()-1)&gt;0,VLOOKUP(ROW()-1,Дела!$A:$I,9,0),"")</f>
        <v>ИП Бурля Александр Павлович</v>
      </c>
      <c r="E111" s="11" t="str">
        <f t="shared" si="1"/>
        <v>Александр Павлович</v>
      </c>
      <c r="F111" s="12">
        <f>IF(COUNTIF(Дела!$A:$A,ROW()-1)&gt;0,VLOOKUP(ROW()-1,Дела!$A:$M,13,0),"")</f>
        <v>618355.43999999994</v>
      </c>
      <c r="G111" s="13">
        <f>IF(COUNTIF(Дела!$A:$A,ROW()-1)&gt;0,VLOOKUP(ROW()-1,Дела!$A:$N,14,0),"")</f>
        <v>45344</v>
      </c>
      <c r="H111" s="11" t="str">
        <f>IF(COUNTIF(Дела!$A:$A,ROW()-1)&gt;0,VLOOKUP(ROW()-1,Дела!$A:$K,11,0),"")</f>
        <v>Бурля Александр Павлович</v>
      </c>
    </row>
    <row r="112" spans="1:8" ht="30" x14ac:dyDescent="0.25">
      <c r="A112" s="11">
        <f>IF(COUNTIF(Дела!$A:$A,ROW()-1)&gt;0,VLOOKUP(ROW()-1,Дела!$A:$C,3,0),"")</f>
        <v>0</v>
      </c>
      <c r="B112" s="11" t="str">
        <f>IF(COUNTIF(Дела!$A:$A,ROW()-1)&gt;0,VLOOKUP(ROW()-1,Дела!$A:$F,6,0),"")</f>
        <v>А40-36748/2024</v>
      </c>
      <c r="C112" s="11" t="str">
        <f>IF(COUNTIF(Дела!$A:$A,ROW()-1)&gt;0,VLOOKUP(ROW()-1,Дела!$A:$G,7,0),"")</f>
        <v>ООО "Старт Продакшн"</v>
      </c>
      <c r="D112" s="11" t="str">
        <f>IF(COUNTIF(Дела!$A:$A,ROW()-1)&gt;0,VLOOKUP(ROW()-1,Дела!$A:$I,9,0),"")</f>
        <v>ИП Рустамян Давид Арменович</v>
      </c>
      <c r="E112" s="11" t="str">
        <f t="shared" si="1"/>
        <v>Давид Арменович</v>
      </c>
      <c r="F112" s="12">
        <f>IF(COUNTIF(Дела!$A:$A,ROW()-1)&gt;0,VLOOKUP(ROW()-1,Дела!$A:$M,13,0),"")</f>
        <v>525678.69999999995</v>
      </c>
      <c r="G112" s="13">
        <f>IF(COUNTIF(Дела!$A:$A,ROW()-1)&gt;0,VLOOKUP(ROW()-1,Дела!$A:$N,14,0),"")</f>
        <v>45344</v>
      </c>
      <c r="H112" s="11" t="str">
        <f>IF(COUNTIF(Дела!$A:$A,ROW()-1)&gt;0,VLOOKUP(ROW()-1,Дела!$A:$K,11,0),"")</f>
        <v>Рустамян Давид Арменович</v>
      </c>
    </row>
    <row r="113" spans="1:8" ht="409.5" x14ac:dyDescent="0.25">
      <c r="A113" s="11" t="str">
        <f>IF(COUNTIF(Дела!$A:$A,ROW()-1)&gt;0,VLOOKUP(ROW()-1,Дела!$A:$C,3,0),"")</f>
        <v>+7 (495) 926-14-20_x000D_
+7 (495) 926-14-20, доб 8474_x000D_
+7 (495) 777-21-01_x000D_
+7 (495) 920-14-80_x000D_
+7 (495) 926-14-20, доб 8173_x000D_
+7 (495) 926-14-20, доб 8626_x000D_
+7 (495) 926-14-20, доб 8644_x000D_
+7 (916) 355-69-73_x000D_
+7 (495) 926-14-20, доб 8709_x000D_
+7 (495) 987-20-72_x000D_
+7 (495) 926-14-20, доб 8672_x000D_
+7 (495) 941-75-48_x000D_
+7 (49663) 5-91-08_x000D_
+7 (831) 242-39-47_x000D_
+7 (499) 653-51-99_x000D_
+7 (495) 926-14-21_x000D_
+7 (383) 279-30-28_x000D_
+7 (831) 242-37-99_x000D_
+7 (383) 278-85-01_x000D_
+7 (985) 765-25-25_x000D_
+7 (831) 242-36-03_x000D_
+7 (831) 242-33-04</v>
      </c>
      <c r="B113" s="11" t="str">
        <f>IF(COUNTIF(Дела!$A:$A,ROW()-1)&gt;0,VLOOKUP(ROW()-1,Дела!$A:$F,6,0),"")</f>
        <v>А40-36780/2024</v>
      </c>
      <c r="C113" s="11" t="str">
        <f>IF(COUNTIF(Дела!$A:$A,ROW()-1)&gt;0,VLOOKUP(ROW()-1,Дела!$A:$G,7,0),"")</f>
        <v>ПАО "Одк-УМПО"</v>
      </c>
      <c r="D113" s="11" t="str">
        <f>IF(COUNTIF(Дела!$A:$A,ROW()-1)&gt;0,VLOOKUP(ROW()-1,Дела!$A:$I,9,0),"")</f>
        <v>ПАО "ОАК"</v>
      </c>
      <c r="E113" s="11" t="str">
        <f t="shared" si="1"/>
        <v>Юрий Борисович</v>
      </c>
      <c r="F113" s="12">
        <f>IF(COUNTIF(Дела!$A:$A,ROW()-1)&gt;0,VLOOKUP(ROW()-1,Дела!$A:$M,13,0),"")</f>
        <v>6961498.6200000001</v>
      </c>
      <c r="G113" s="13">
        <f>IF(COUNTIF(Дела!$A:$A,ROW()-1)&gt;0,VLOOKUP(ROW()-1,Дела!$A:$N,14,0),"")</f>
        <v>45344</v>
      </c>
      <c r="H113" s="11" t="str">
        <f>IF(COUNTIF(Дела!$A:$A,ROW()-1)&gt;0,VLOOKUP(ROW()-1,Дела!$A:$K,11,0),"")</f>
        <v>Слюсарь Юрий Борисович</v>
      </c>
    </row>
    <row r="114" spans="1:8" ht="60" x14ac:dyDescent="0.25">
      <c r="A114" s="11" t="str">
        <f>IF(COUNTIF(Дела!$A:$A,ROW()-1)&gt;0,VLOOKUP(ROW()-1,Дела!$A:$C,3,0),"")</f>
        <v>+7 (495) 109-25-45_x000D_
+7 (965) 277-33-51</v>
      </c>
      <c r="B114" s="11" t="str">
        <f>IF(COUNTIF(Дела!$A:$A,ROW()-1)&gt;0,VLOOKUP(ROW()-1,Дела!$A:$F,6,0),"")</f>
        <v>А40-36743/2024</v>
      </c>
      <c r="C114" s="11" t="str">
        <f>IF(COUNTIF(Дела!$A:$A,ROW()-1)&gt;0,VLOOKUP(ROW()-1,Дела!$A:$G,7,0),"")</f>
        <v>ОАО "РЖД"</v>
      </c>
      <c r="D114" s="11" t="str">
        <f>IF(COUNTIF(Дела!$A:$A,ROW()-1)&gt;0,VLOOKUP(ROW()-1,Дела!$A:$I,9,0),"")</f>
        <v>ООО "НПЦ "Развитие"</v>
      </c>
      <c r="E114" s="11" t="str">
        <f t="shared" si="1"/>
        <v>Илья Владимирович</v>
      </c>
      <c r="F114" s="12">
        <f>IF(COUNTIF(Дела!$A:$A,ROW()-1)&gt;0,VLOOKUP(ROW()-1,Дела!$A:$M,13,0),"")</f>
        <v>7778695.71</v>
      </c>
      <c r="G114" s="13">
        <f>IF(COUNTIF(Дела!$A:$A,ROW()-1)&gt;0,VLOOKUP(ROW()-1,Дела!$A:$N,14,0),"")</f>
        <v>45344</v>
      </c>
      <c r="H114" s="11" t="str">
        <f>IF(COUNTIF(Дела!$A:$A,ROW()-1)&gt;0,VLOOKUP(ROW()-1,Дела!$A:$K,11,0),"")</f>
        <v>Шуховцев Илья Владимирович</v>
      </c>
    </row>
    <row r="115" spans="1:8" ht="45" x14ac:dyDescent="0.25">
      <c r="A115" s="11">
        <f>IF(COUNTIF(Дела!$A:$A,ROW()-1)&gt;0,VLOOKUP(ROW()-1,Дела!$A:$C,3,0),"")</f>
        <v>0</v>
      </c>
      <c r="B115" s="11" t="str">
        <f>IF(COUNTIF(Дела!$A:$A,ROW()-1)&gt;0,VLOOKUP(ROW()-1,Дела!$A:$F,6,0),"")</f>
        <v>А40-36667/2024</v>
      </c>
      <c r="C115" s="11" t="str">
        <f>IF(COUNTIF(Дела!$A:$A,ROW()-1)&gt;0,VLOOKUP(ROW()-1,Дела!$A:$G,7,0),"")</f>
        <v>ИП Игнаков Михаил Сергеевич</v>
      </c>
      <c r="D115" s="11" t="str">
        <f>IF(COUNTIF(Дела!$A:$A,ROW()-1)&gt;0,VLOOKUP(ROW()-1,Дела!$A:$I,9,0),"")</f>
        <v>ООО "СТИ"</v>
      </c>
      <c r="E115" s="11" t="str">
        <f t="shared" si="1"/>
        <v>Юлия Николаевна</v>
      </c>
      <c r="F115" s="12">
        <f>IF(COUNTIF(Дела!$A:$A,ROW()-1)&gt;0,VLOOKUP(ROW()-1,Дела!$A:$M,13,0),"")</f>
        <v>787025.25</v>
      </c>
      <c r="G115" s="13">
        <f>IF(COUNTIF(Дела!$A:$A,ROW()-1)&gt;0,VLOOKUP(ROW()-1,Дела!$A:$N,14,0),"")</f>
        <v>45344</v>
      </c>
      <c r="H115" s="11" t="str">
        <f>IF(COUNTIF(Дела!$A:$A,ROW()-1)&gt;0,VLOOKUP(ROW()-1,Дела!$A:$K,11,0),"")</f>
        <v>Колосова Юлия Николаевна</v>
      </c>
    </row>
    <row r="116" spans="1:8" ht="409.5" x14ac:dyDescent="0.25">
      <c r="A116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16" s="11" t="str">
        <f>IF(COUNTIF(Дела!$A:$A,ROW()-1)&gt;0,VLOOKUP(ROW()-1,Дела!$A:$F,6,0),"")</f>
        <v>А40-36538/2024</v>
      </c>
      <c r="C116" s="11" t="str">
        <f>IF(COUNTIF(Дела!$A:$A,ROW()-1)&gt;0,VLOOKUP(ROW()-1,Дела!$A:$G,7,0),"")</f>
        <v>ООО "Зерноторг26"</v>
      </c>
      <c r="D116" s="11" t="str">
        <f>IF(COUNTIF(Дела!$A:$A,ROW()-1)&gt;0,VLOOKUP(ROW()-1,Дела!$A:$I,9,0),"")</f>
        <v>ОАО "РЖД"</v>
      </c>
      <c r="E116" s="11" t="str">
        <f t="shared" si="1"/>
        <v>Олег Валентинович</v>
      </c>
      <c r="F116" s="12">
        <f>IF(COUNTIF(Дела!$A:$A,ROW()-1)&gt;0,VLOOKUP(ROW()-1,Дела!$A:$M,13,0),"")</f>
        <v>2507506</v>
      </c>
      <c r="G116" s="13">
        <f>IF(COUNTIF(Дела!$A:$A,ROW()-1)&gt;0,VLOOKUP(ROW()-1,Дела!$A:$N,14,0),"")</f>
        <v>45344</v>
      </c>
      <c r="H116" s="11" t="str">
        <f>IF(COUNTIF(Дела!$A:$A,ROW()-1)&gt;0,VLOOKUP(ROW()-1,Дела!$A:$K,11,0),"")</f>
        <v>Белозёров Олег Валентинович</v>
      </c>
    </row>
    <row r="117" spans="1:8" ht="120" x14ac:dyDescent="0.25">
      <c r="A117" s="11" t="str">
        <f>IF(COUNTIF(Дела!$A:$A,ROW()-1)&gt;0,VLOOKUP(ROW()-1,Дела!$A:$C,3,0),"")</f>
        <v>+7 (8212) 57-03-39_x000D_
+7 (912) 962-38-90_x000D_
+7 (8212) 31-11-11_x000D_
+7 (8212) 57-04-41</v>
      </c>
      <c r="B117" s="11" t="str">
        <f>IF(COUNTIF(Дела!$A:$A,ROW()-1)&gt;0,VLOOKUP(ROW()-1,Дела!$A:$F,6,0),"")</f>
        <v>А40-36565/2024</v>
      </c>
      <c r="C117" s="11" t="str">
        <f>IF(COUNTIF(Дела!$A:$A,ROW()-1)&gt;0,VLOOKUP(ROW()-1,Дела!$A:$G,7,0),"")</f>
        <v>ООО "Поток.Диджитал"</v>
      </c>
      <c r="D117" s="11" t="str">
        <f>IF(COUNTIF(Дела!$A:$A,ROW()-1)&gt;0,VLOOKUP(ROW()-1,Дела!$A:$I,9,0),"")</f>
        <v>ООО "Максимум"</v>
      </c>
      <c r="E117" s="11" t="str">
        <f t="shared" si="1"/>
        <v>Максим Михайлович</v>
      </c>
      <c r="F117" s="12">
        <f>IF(COUNTIF(Дела!$A:$A,ROW()-1)&gt;0,VLOOKUP(ROW()-1,Дела!$A:$M,13,0),"")</f>
        <v>2229614.5699999998</v>
      </c>
      <c r="G117" s="13">
        <f>IF(COUNTIF(Дела!$A:$A,ROW()-1)&gt;0,VLOOKUP(ROW()-1,Дела!$A:$N,14,0),"")</f>
        <v>45344</v>
      </c>
      <c r="H117" s="11" t="str">
        <f>IF(COUNTIF(Дела!$A:$A,ROW()-1)&gt;0,VLOOKUP(ROW()-1,Дела!$A:$K,11,0),"")</f>
        <v>Меньшиков Максим Михайлович</v>
      </c>
    </row>
    <row r="118" spans="1:8" ht="150" x14ac:dyDescent="0.25">
      <c r="A118" s="11" t="str">
        <f>IF(COUNTIF(Дела!$A:$A,ROW()-1)&gt;0,VLOOKUP(ROW()-1,Дела!$A:$C,3,0),"")</f>
        <v>+7 (495) 642-43-10_x000D_
+7 (495) 913-44-93_x000D_
+7 (495) 925-17-50_x000D_
+7 (495) 938-83-88_x000D_
+7 (495) 983-38-88</v>
      </c>
      <c r="B118" s="11" t="str">
        <f>IF(COUNTIF(Дела!$A:$A,ROW()-1)&gt;0,VLOOKUP(ROW()-1,Дела!$A:$F,6,0),"")</f>
        <v>А40-36497/2024</v>
      </c>
      <c r="C118" s="11" t="str">
        <f>IF(COUNTIF(Дела!$A:$A,ROW()-1)&gt;0,VLOOKUP(ROW()-1,Дела!$A:$G,7,0),"")</f>
        <v>ООО "МК Инвест"</v>
      </c>
      <c r="D118" s="11" t="str">
        <f>IF(COUNTIF(Дела!$A:$A,ROW()-1)&gt;0,VLOOKUP(ROW()-1,Дела!$A:$I,9,0),"")</f>
        <v>Минфин России</v>
      </c>
      <c r="E118" s="11" t="str">
        <f t="shared" si="1"/>
        <v>Антон Германович</v>
      </c>
      <c r="F118" s="12">
        <f>IF(COUNTIF(Дела!$A:$A,ROW()-1)&gt;0,VLOOKUP(ROW()-1,Дела!$A:$M,13,0),"")</f>
        <v>675829.72</v>
      </c>
      <c r="G118" s="13">
        <f>IF(COUNTIF(Дела!$A:$A,ROW()-1)&gt;0,VLOOKUP(ROW()-1,Дела!$A:$N,14,0),"")</f>
        <v>45344</v>
      </c>
      <c r="H118" s="11" t="str">
        <f>IF(COUNTIF(Дела!$A:$A,ROW()-1)&gt;0,VLOOKUP(ROW()-1,Дела!$A:$K,11,0),"")</f>
        <v>Силуанов Антон Германович</v>
      </c>
    </row>
    <row r="119" spans="1:8" ht="45" x14ac:dyDescent="0.25">
      <c r="A119" s="11">
        <f>IF(COUNTIF(Дела!$A:$A,ROW()-1)&gt;0,VLOOKUP(ROW()-1,Дела!$A:$C,3,0),"")</f>
        <v>0</v>
      </c>
      <c r="B119" s="11" t="str">
        <f>IF(COUNTIF(Дела!$A:$A,ROW()-1)&gt;0,VLOOKUP(ROW()-1,Дела!$A:$F,6,0),"")</f>
        <v>А40-36527/2024</v>
      </c>
      <c r="C119" s="11" t="str">
        <f>IF(COUNTIF(Дела!$A:$A,ROW()-1)&gt;0,VLOOKUP(ROW()-1,Дела!$A:$G,7,0),"")</f>
        <v>ПАО "Промсвязьбанк"</v>
      </c>
      <c r="D119" s="11" t="str">
        <f>IF(COUNTIF(Дела!$A:$A,ROW()-1)&gt;0,VLOOKUP(ROW()-1,Дела!$A:$I,9,0),"")</f>
        <v>ИП Рыбак Марина Леонидовна</v>
      </c>
      <c r="E119" s="11" t="str">
        <f t="shared" si="1"/>
        <v>Марина Леонидовна</v>
      </c>
      <c r="F119" s="12">
        <f>IF(COUNTIF(Дела!$A:$A,ROW()-1)&gt;0,VLOOKUP(ROW()-1,Дела!$A:$M,13,0),"")</f>
        <v>317215402.44999999</v>
      </c>
      <c r="G119" s="13">
        <f>IF(COUNTIF(Дела!$A:$A,ROW()-1)&gt;0,VLOOKUP(ROW()-1,Дела!$A:$N,14,0),"")</f>
        <v>45344</v>
      </c>
      <c r="H119" s="11" t="str">
        <f>IF(COUNTIF(Дела!$A:$A,ROW()-1)&gt;0,VLOOKUP(ROW()-1,Дела!$A:$K,11,0),"")</f>
        <v>Рыбак Марина Леонидовна</v>
      </c>
    </row>
    <row r="120" spans="1:8" ht="45" x14ac:dyDescent="0.25">
      <c r="A120" s="11" t="str">
        <f>IF(COUNTIF(Дела!$A:$A,ROW()-1)&gt;0,VLOOKUP(ROW()-1,Дела!$A:$C,3,0),"")</f>
        <v>+7 (495) 234-59-02</v>
      </c>
      <c r="B120" s="11" t="str">
        <f>IF(COUNTIF(Дела!$A:$A,ROW()-1)&gt;0,VLOOKUP(ROW()-1,Дела!$A:$F,6,0),"")</f>
        <v>А40-36485/2024</v>
      </c>
      <c r="C120" s="11" t="str">
        <f>IF(COUNTIF(Дела!$A:$A,ROW()-1)&gt;0,VLOOKUP(ROW()-1,Дела!$A:$G,7,0),"")</f>
        <v>ООО "Атлант-Жби Комплектация"</v>
      </c>
      <c r="D120" s="11" t="str">
        <f>IF(COUNTIF(Дела!$A:$A,ROW()-1)&gt;0,VLOOKUP(ROW()-1,Дела!$A:$I,9,0),"")</f>
        <v>АО "МФС"</v>
      </c>
      <c r="E120" s="11" t="str">
        <f t="shared" si="1"/>
        <v>Денис Викторович</v>
      </c>
      <c r="F120" s="12">
        <f>IF(COUNTIF(Дела!$A:$A,ROW()-1)&gt;0,VLOOKUP(ROW()-1,Дела!$A:$M,13,0),"")</f>
        <v>505561.4</v>
      </c>
      <c r="G120" s="13">
        <f>IF(COUNTIF(Дела!$A:$A,ROW()-1)&gt;0,VLOOKUP(ROW()-1,Дела!$A:$N,14,0),"")</f>
        <v>45344</v>
      </c>
      <c r="H120" s="11" t="str">
        <f>IF(COUNTIF(Дела!$A:$A,ROW()-1)&gt;0,VLOOKUP(ROW()-1,Дела!$A:$K,11,0),"")</f>
        <v>Рогачев Денис Викторович</v>
      </c>
    </row>
    <row r="121" spans="1:8" ht="150" x14ac:dyDescent="0.25">
      <c r="A121" s="11" t="str">
        <f>IF(COUNTIF(Дела!$A:$A,ROW()-1)&gt;0,VLOOKUP(ROW()-1,Дела!$A:$C,3,0),"")</f>
        <v>+7 (863) 251-66-18_x000D_
+7 (499) 449-83-83_x000D_
+7 (499) 449-81-50_x000D_
+7 (863) 253-74-59_x000D_
+7 (499) 449-76-75</v>
      </c>
      <c r="B121" s="11" t="str">
        <f>IF(COUNTIF(Дела!$A:$A,ROW()-1)&gt;0,VLOOKUP(ROW()-1,Дела!$A:$F,6,0),"")</f>
        <v>А40-36378/2024</v>
      </c>
      <c r="C121" s="11" t="str">
        <f>IF(COUNTIF(Дела!$A:$A,ROW()-1)&gt;0,VLOOKUP(ROW()-1,Дела!$A:$G,7,0),"")</f>
        <v>ООО "РЭД"</v>
      </c>
      <c r="D121" s="11" t="str">
        <f>IF(COUNTIF(Дела!$A:$A,ROW()-1)&gt;0,VLOOKUP(ROW()-1,Дела!$A:$I,9,0),"")</f>
        <v>Федеральная Таможенная Служба</v>
      </c>
      <c r="E121" s="11" t="str">
        <f t="shared" si="1"/>
        <v>Руслан Валентинович</v>
      </c>
      <c r="F121" s="12">
        <f>IF(COUNTIF(Дела!$A:$A,ROW()-1)&gt;0,VLOOKUP(ROW()-1,Дела!$A:$M,13,0),"")</f>
        <v>1366247.76</v>
      </c>
      <c r="G121" s="13">
        <f>IF(COUNTIF(Дела!$A:$A,ROW()-1)&gt;0,VLOOKUP(ROW()-1,Дела!$A:$N,14,0),"")</f>
        <v>45344</v>
      </c>
      <c r="H121" s="11" t="str">
        <f>IF(COUNTIF(Дела!$A:$A,ROW()-1)&gt;0,VLOOKUP(ROW()-1,Дела!$A:$K,11,0),"")</f>
        <v>Давыдов Руслан Валентинович</v>
      </c>
    </row>
    <row r="122" spans="1:8" ht="90" x14ac:dyDescent="0.25">
      <c r="A122" s="11" t="str">
        <f>IF(COUNTIF(Дела!$A:$A,ROW()-1)&gt;0,VLOOKUP(ROW()-1,Дела!$A:$C,3,0),"")</f>
        <v>+7 (495) 981-54-36_x000D_
+7 (495) 981-54-33_x000D_
+7 (913) 817-35-78</v>
      </c>
      <c r="B122" s="11" t="str">
        <f>IF(COUNTIF(Дела!$A:$A,ROW()-1)&gt;0,VLOOKUP(ROW()-1,Дела!$A:$F,6,0),"")</f>
        <v>А40-36387/2024</v>
      </c>
      <c r="C122" s="11" t="str">
        <f>IF(COUNTIF(Дела!$A:$A,ROW()-1)&gt;0,VLOOKUP(ROW()-1,Дела!$A:$G,7,0),"")</f>
        <v>ООО "Сура-Пак"</v>
      </c>
      <c r="D122" s="11" t="str">
        <f>IF(COUNTIF(Дела!$A:$A,ROW()-1)&gt;0,VLOOKUP(ROW()-1,Дела!$A:$I,9,0),"")</f>
        <v>ООО "Милур ИС"</v>
      </c>
      <c r="E122" s="11" t="str">
        <f t="shared" si="1"/>
        <v>Виктор Владимирович</v>
      </c>
      <c r="F122" s="12">
        <f>IF(COUNTIF(Дела!$A:$A,ROW()-1)&gt;0,VLOOKUP(ROW()-1,Дела!$A:$M,13,0),"")</f>
        <v>904379.2</v>
      </c>
      <c r="G122" s="13">
        <f>IF(COUNTIF(Дела!$A:$A,ROW()-1)&gt;0,VLOOKUP(ROW()-1,Дела!$A:$N,14,0),"")</f>
        <v>45344</v>
      </c>
      <c r="H122" s="11" t="str">
        <f>IF(COUNTIF(Дела!$A:$A,ROW()-1)&gt;0,VLOOKUP(ROW()-1,Дела!$A:$K,11,0),"")</f>
        <v>Баев Виктор Владимирович</v>
      </c>
    </row>
    <row r="123" spans="1:8" ht="240" x14ac:dyDescent="0.25">
      <c r="A123" s="11" t="str">
        <f>IF(COUNTIF(Дела!$A:$A,ROW()-1)&gt;0,VLOOKUP(ROW()-1,Дела!$A:$C,3,0),"")</f>
        <v>+7 (499) 968-94-23_x000D_
+7 (3952) 20-09-91_x000D_
+7 (950) 065-54-27_x000D_
+7 (3952) 72-80-86_x000D_
+7 (3955) 52-25-66_x000D_
+7 (3955) 52-61-94_x000D_
+7 (499) 963-07-06_x000D_
+7 (3952) 25-88-00</v>
      </c>
      <c r="B123" s="11" t="str">
        <f>IF(COUNTIF(Дела!$A:$A,ROW()-1)&gt;0,VLOOKUP(ROW()-1,Дела!$A:$F,6,0),"")</f>
        <v>А40-36339/2024</v>
      </c>
      <c r="C123" s="11" t="str">
        <f>IF(COUNTIF(Дела!$A:$A,ROW()-1)&gt;0,VLOOKUP(ROW()-1,Дела!$A:$G,7,0),"")</f>
        <v>ООО "Сервисстрой"</v>
      </c>
      <c r="D123" s="11" t="str">
        <f>IF(COUNTIF(Дела!$A:$A,ROW()-1)&gt;0,VLOOKUP(ROW()-1,Дела!$A:$I,9,0),"")</f>
        <v>АО "Реалист Банк"</v>
      </c>
      <c r="E123" s="11" t="str">
        <f t="shared" si="1"/>
        <v>Владимир Сергеевич</v>
      </c>
      <c r="F123" s="12">
        <f>IF(COUNTIF(Дела!$A:$A,ROW()-1)&gt;0,VLOOKUP(ROW()-1,Дела!$A:$M,13,0),"")</f>
        <v>1827445</v>
      </c>
      <c r="G123" s="13">
        <f>IF(COUNTIF(Дела!$A:$A,ROW()-1)&gt;0,VLOOKUP(ROW()-1,Дела!$A:$N,14,0),"")</f>
        <v>45344</v>
      </c>
      <c r="H123" s="11" t="str">
        <f>IF(COUNTIF(Дела!$A:$A,ROW()-1)&gt;0,VLOOKUP(ROW()-1,Дела!$A:$K,11,0),"")</f>
        <v>Эльманин Владимир Сергеевич</v>
      </c>
    </row>
    <row r="124" spans="1:8" ht="30" x14ac:dyDescent="0.25">
      <c r="A124" s="11">
        <f>IF(COUNTIF(Дела!$A:$A,ROW()-1)&gt;0,VLOOKUP(ROW()-1,Дела!$A:$C,3,0),"")</f>
        <v>0</v>
      </c>
      <c r="B124" s="11" t="str">
        <f>IF(COUNTIF(Дела!$A:$A,ROW()-1)&gt;0,VLOOKUP(ROW()-1,Дела!$A:$F,6,0),"")</f>
        <v>А40-36301/2024</v>
      </c>
      <c r="C124" s="11" t="str">
        <f>IF(COUNTIF(Дела!$A:$A,ROW()-1)&gt;0,VLOOKUP(ROW()-1,Дела!$A:$G,7,0),"")</f>
        <v>АО "ТД ССГ"</v>
      </c>
      <c r="D124" s="11" t="str">
        <f>IF(COUNTIF(Дела!$A:$A,ROW()-1)&gt;0,VLOOKUP(ROW()-1,Дела!$A:$I,9,0),"")</f>
        <v>ООО "ВЛ Строй"</v>
      </c>
      <c r="E124" s="11" t="str">
        <f t="shared" si="1"/>
        <v>Алексей Викторович</v>
      </c>
      <c r="F124" s="12">
        <f>IF(COUNTIF(Дела!$A:$A,ROW()-1)&gt;0,VLOOKUP(ROW()-1,Дела!$A:$M,13,0),"")</f>
        <v>3770331.18</v>
      </c>
      <c r="G124" s="13">
        <f>IF(COUNTIF(Дела!$A:$A,ROW()-1)&gt;0,VLOOKUP(ROW()-1,Дела!$A:$N,14,0),"")</f>
        <v>45344</v>
      </c>
      <c r="H124" s="11" t="str">
        <f>IF(COUNTIF(Дела!$A:$A,ROW()-1)&gt;0,VLOOKUP(ROW()-1,Дела!$A:$K,11,0),"")</f>
        <v>Лукьяненко Алексей Викторович</v>
      </c>
    </row>
    <row r="125" spans="1:8" ht="45" x14ac:dyDescent="0.25">
      <c r="A125" s="11">
        <f>IF(COUNTIF(Дела!$A:$A,ROW()-1)&gt;0,VLOOKUP(ROW()-1,Дела!$A:$C,3,0),"")</f>
        <v>0</v>
      </c>
      <c r="B125" s="11" t="str">
        <f>IF(COUNTIF(Дела!$A:$A,ROW()-1)&gt;0,VLOOKUP(ROW()-1,Дела!$A:$F,6,0),"")</f>
        <v>А40-36334/2024</v>
      </c>
      <c r="C125" s="11" t="str">
        <f>IF(COUNTIF(Дела!$A:$A,ROW()-1)&gt;0,VLOOKUP(ROW()-1,Дела!$A:$G,7,0),"")</f>
        <v>АО ВТБ Лизинг</v>
      </c>
      <c r="D125" s="11" t="str">
        <f>IF(COUNTIF(Дела!$A:$A,ROW()-1)&gt;0,VLOOKUP(ROW()-1,Дела!$A:$I,9,0),"")</f>
        <v>ИП Русакова Светлана Сергеевна</v>
      </c>
      <c r="E125" s="11" t="str">
        <f t="shared" si="1"/>
        <v>Светлана Сергеевна</v>
      </c>
      <c r="F125" s="12">
        <f>IF(COUNTIF(Дела!$A:$A,ROW()-1)&gt;0,VLOOKUP(ROW()-1,Дела!$A:$M,13,0),"")</f>
        <v>2285223.2000000002</v>
      </c>
      <c r="G125" s="13">
        <f>IF(COUNTIF(Дела!$A:$A,ROW()-1)&gt;0,VLOOKUP(ROW()-1,Дела!$A:$N,14,0),"")</f>
        <v>45344</v>
      </c>
      <c r="H125" s="11" t="str">
        <f>IF(COUNTIF(Дела!$A:$A,ROW()-1)&gt;0,VLOOKUP(ROW()-1,Дела!$A:$K,11,0),"")</f>
        <v>Русакова Светлана Сергеевна</v>
      </c>
    </row>
    <row r="126" spans="1:8" ht="60" x14ac:dyDescent="0.25">
      <c r="A126" s="11" t="str">
        <f>IF(COUNTIF(Дела!$A:$A,ROW()-1)&gt;0,VLOOKUP(ROW()-1,Дела!$A:$C,3,0),"")</f>
        <v>+7 (994) 011-61-67_x000D_
+7 (914) 677-93-34</v>
      </c>
      <c r="B126" s="11" t="str">
        <f>IF(COUNTIF(Дела!$A:$A,ROW()-1)&gt;0,VLOOKUP(ROW()-1,Дела!$A:$F,6,0),"")</f>
        <v>А40-36229/2024</v>
      </c>
      <c r="C126" s="11" t="str">
        <f>IF(COUNTIF(Дела!$A:$A,ROW()-1)&gt;0,VLOOKUP(ROW()-1,Дела!$A:$G,7,0),"")</f>
        <v>ПАО Сбербанк</v>
      </c>
      <c r="D126" s="11" t="str">
        <f>IF(COUNTIF(Дела!$A:$A,ROW()-1)&gt;0,VLOOKUP(ROW()-1,Дела!$A:$I,9,0),"")</f>
        <v>ООО "Профстройгрупп"</v>
      </c>
      <c r="E126" s="11" t="str">
        <f t="shared" si="1"/>
        <v>Клавдия Николаевна</v>
      </c>
      <c r="F126" s="12">
        <f>IF(COUNTIF(Дела!$A:$A,ROW()-1)&gt;0,VLOOKUP(ROW()-1,Дела!$A:$M,13,0),"")</f>
        <v>725282.16</v>
      </c>
      <c r="G126" s="13">
        <f>IF(COUNTIF(Дела!$A:$A,ROW()-1)&gt;0,VLOOKUP(ROW()-1,Дела!$A:$N,14,0),"")</f>
        <v>45344</v>
      </c>
      <c r="H126" s="11" t="str">
        <f>IF(COUNTIF(Дела!$A:$A,ROW()-1)&gt;0,VLOOKUP(ROW()-1,Дела!$A:$K,11,0),"")</f>
        <v>Ильина Клавдия Николаевна</v>
      </c>
    </row>
    <row r="127" spans="1:8" ht="225" x14ac:dyDescent="0.25">
      <c r="A127" s="11" t="str">
        <f>IF(COUNTIF(Дела!$A:$A,ROW()-1)&gt;0,VLOOKUP(ROW()-1,Дела!$A:$C,3,0),"")</f>
        <v>+7 (499) 270-59-33_x000D_
+7 (495) 276-00-10_x000D_
+7 (499) 949-48-16_x000D_
+7 (499) 558-04-02_x000D_
8 (800) 250-39-32_x000D_
+7 (495) 981-67-54_x000D_
+7 (499) 558-03-42_x000D_
+7 (499) 583-04-61</v>
      </c>
      <c r="B127" s="11" t="str">
        <f>IF(COUNTIF(Дела!$A:$A,ROW()-1)&gt;0,VLOOKUP(ROW()-1,Дела!$A:$F,6,0),"")</f>
        <v>А40-36497/2024</v>
      </c>
      <c r="C127" s="11" t="str">
        <f>IF(COUNTIF(Дела!$A:$A,ROW()-1)&gt;0,VLOOKUP(ROW()-1,Дела!$A:$G,7,0),"")</f>
        <v>ООО "МК Инвест"</v>
      </c>
      <c r="D127" s="11" t="str">
        <f>IF(COUNTIF(Дела!$A:$A,ROW()-1)&gt;0,VLOOKUP(ROW()-1,Дела!$A:$I,9,0),"")</f>
        <v>ГУФССП России по Г. Москве</v>
      </c>
      <c r="E127" s="11" t="str">
        <f t="shared" si="1"/>
        <v>Николай Викторович</v>
      </c>
      <c r="F127" s="12">
        <f>IF(COUNTIF(Дела!$A:$A,ROW()-1)&gt;0,VLOOKUP(ROW()-1,Дела!$A:$M,13,0),"")</f>
        <v>675829.72</v>
      </c>
      <c r="G127" s="13">
        <f>IF(COUNTIF(Дела!$A:$A,ROW()-1)&gt;0,VLOOKUP(ROW()-1,Дела!$A:$N,14,0),"")</f>
        <v>45344</v>
      </c>
      <c r="H127" s="11" t="str">
        <f>IF(COUNTIF(Дела!$A:$A,ROW()-1)&gt;0,VLOOKUP(ROW()-1,Дела!$A:$K,11,0),"")</f>
        <v>Коновалов Николай Викторович</v>
      </c>
    </row>
    <row r="128" spans="1:8" ht="45" x14ac:dyDescent="0.25">
      <c r="A128" s="11">
        <f>IF(COUNTIF(Дела!$A:$A,ROW()-1)&gt;0,VLOOKUP(ROW()-1,Дела!$A:$C,3,0),"")</f>
        <v>0</v>
      </c>
      <c r="B128" s="11" t="str">
        <f>IF(COUNTIF(Дела!$A:$A,ROW()-1)&gt;0,VLOOKUP(ROW()-1,Дела!$A:$F,6,0),"")</f>
        <v>А40-36565/2024</v>
      </c>
      <c r="C128" s="11" t="str">
        <f>IF(COUNTIF(Дела!$A:$A,ROW()-1)&gt;0,VLOOKUP(ROW()-1,Дела!$A:$G,7,0),"")</f>
        <v>ООО "Поток.Диджитал"</v>
      </c>
      <c r="D128" s="11" t="str">
        <f>IF(COUNTIF(Дела!$A:$A,ROW()-1)&gt;0,VLOOKUP(ROW()-1,Дела!$A:$I,9,0),"")</f>
        <v>ИП Меньшиков Максим Михайлович</v>
      </c>
      <c r="E128" s="11" t="str">
        <f t="shared" si="1"/>
        <v>Максим Михайлович</v>
      </c>
      <c r="F128" s="12">
        <f>IF(COUNTIF(Дела!$A:$A,ROW()-1)&gt;0,VLOOKUP(ROW()-1,Дела!$A:$M,13,0),"")</f>
        <v>2229614.5699999998</v>
      </c>
      <c r="G128" s="13">
        <f>IF(COUNTIF(Дела!$A:$A,ROW()-1)&gt;0,VLOOKUP(ROW()-1,Дела!$A:$N,14,0),"")</f>
        <v>45344</v>
      </c>
      <c r="H128" s="11" t="str">
        <f>IF(COUNTIF(Дела!$A:$A,ROW()-1)&gt;0,VLOOKUP(ROW()-1,Дела!$A:$K,11,0),"")</f>
        <v>Меньшиков Максим Михайлович</v>
      </c>
    </row>
    <row r="129" spans="1:8" ht="30" x14ac:dyDescent="0.25">
      <c r="A129" s="11">
        <f>IF(COUNTIF(Дела!$A:$A,ROW()-1)&gt;0,VLOOKUP(ROW()-1,Дела!$A:$C,3,0),"")</f>
        <v>0</v>
      </c>
      <c r="B129" s="11" t="str">
        <f>IF(COUNTIF(Дела!$A:$A,ROW()-1)&gt;0,VLOOKUP(ROW()-1,Дела!$A:$F,6,0),"")</f>
        <v>А40-36497/2024</v>
      </c>
      <c r="C129" s="11" t="str">
        <f>IF(COUNTIF(Дела!$A:$A,ROW()-1)&gt;0,VLOOKUP(ROW()-1,Дела!$A:$G,7,0),"")</f>
        <v>ООО "МК Инвест"</v>
      </c>
      <c r="D129" s="11">
        <f>IF(COUNTIF(Дела!$A:$A,ROW()-1)&gt;0,VLOOKUP(ROW()-1,Дела!$A:$I,9,0),"")</f>
        <v>0</v>
      </c>
      <c r="E129" s="11" t="e">
        <f t="shared" si="1"/>
        <v>#VALUE!</v>
      </c>
      <c r="F129" s="12">
        <f>IF(COUNTIF(Дела!$A:$A,ROW()-1)&gt;0,VLOOKUP(ROW()-1,Дела!$A:$M,13,0),"")</f>
        <v>675829.72</v>
      </c>
      <c r="G129" s="13">
        <f>IF(COUNTIF(Дела!$A:$A,ROW()-1)&gt;0,VLOOKUP(ROW()-1,Дела!$A:$N,14,0),"")</f>
        <v>45344</v>
      </c>
      <c r="H129" s="11">
        <f>IF(COUNTIF(Дела!$A:$A,ROW()-1)&gt;0,VLOOKUP(ROW()-1,Дела!$A:$K,11,0),"")</f>
        <v>0</v>
      </c>
    </row>
    <row r="130" spans="1:8" ht="45" x14ac:dyDescent="0.25">
      <c r="A130" s="11">
        <f>IF(COUNTIF(Дела!$A:$A,ROW()-1)&gt;0,VLOOKUP(ROW()-1,Дела!$A:$C,3,0),"")</f>
        <v>0</v>
      </c>
      <c r="B130" s="11" t="str">
        <f>IF(COUNTIF(Дела!$A:$A,ROW()-1)&gt;0,VLOOKUP(ROW()-1,Дела!$A:$F,6,0),"")</f>
        <v>А40-36527/2024</v>
      </c>
      <c r="C130" s="11" t="str">
        <f>IF(COUNTIF(Дела!$A:$A,ROW()-1)&gt;0,VLOOKUP(ROW()-1,Дела!$A:$G,7,0),"")</f>
        <v>ПАО "Промсвязьбанк"</v>
      </c>
      <c r="D130" s="11" t="str">
        <f>IF(COUNTIF(Дела!$A:$A,ROW()-1)&gt;0,VLOOKUP(ROW()-1,Дела!$A:$I,9,0),"")</f>
        <v/>
      </c>
      <c r="E130" s="11" t="e">
        <f t="shared" si="1"/>
        <v>#VALUE!</v>
      </c>
      <c r="F130" s="12">
        <f>IF(COUNTIF(Дела!$A:$A,ROW()-1)&gt;0,VLOOKUP(ROW()-1,Дела!$A:$M,13,0),"")</f>
        <v>317215402.44999999</v>
      </c>
      <c r="G130" s="13">
        <f>IF(COUNTIF(Дела!$A:$A,ROW()-1)&gt;0,VLOOKUP(ROW()-1,Дела!$A:$N,14,0),"")</f>
        <v>45344</v>
      </c>
      <c r="H130" s="11">
        <f>IF(COUNTIF(Дела!$A:$A,ROW()-1)&gt;0,VLOOKUP(ROW()-1,Дела!$A:$K,11,0),"")</f>
        <v>0</v>
      </c>
    </row>
    <row r="131" spans="1:8" ht="45" x14ac:dyDescent="0.25">
      <c r="A131" s="11">
        <f>IF(COUNTIF(Дела!$A:$A,ROW()-1)&gt;0,VLOOKUP(ROW()-1,Дела!$A:$C,3,0),"")</f>
        <v>0</v>
      </c>
      <c r="B131" s="11" t="str">
        <f>IF(COUNTIF(Дела!$A:$A,ROW()-1)&gt;0,VLOOKUP(ROW()-1,Дела!$A:$F,6,0),"")</f>
        <v>А40-36527/2024</v>
      </c>
      <c r="C131" s="11" t="str">
        <f>IF(COUNTIF(Дела!$A:$A,ROW()-1)&gt;0,VLOOKUP(ROW()-1,Дела!$A:$G,7,0),"")</f>
        <v>ПАО "Промсвязьбанк"</v>
      </c>
      <c r="D131" s="11" t="str">
        <f>IF(COUNTIF(Дела!$A:$A,ROW()-1)&gt;0,VLOOKUP(ROW()-1,Дела!$A:$I,9,0),"")</f>
        <v>ИП Протасов Денис Николаевич</v>
      </c>
      <c r="E131" s="11" t="str">
        <f t="shared" ref="E131:E194" si="2">IF(H131="","",MID(H131,SEARCH(" ",H131)+1,1000))</f>
        <v>Денис Николаевич</v>
      </c>
      <c r="F131" s="12">
        <f>IF(COUNTIF(Дела!$A:$A,ROW()-1)&gt;0,VLOOKUP(ROW()-1,Дела!$A:$M,13,0),"")</f>
        <v>317215402.44999999</v>
      </c>
      <c r="G131" s="13">
        <f>IF(COUNTIF(Дела!$A:$A,ROW()-1)&gt;0,VLOOKUP(ROW()-1,Дела!$A:$N,14,0),"")</f>
        <v>45344</v>
      </c>
      <c r="H131" s="11" t="str">
        <f>IF(COUNTIF(Дела!$A:$A,ROW()-1)&gt;0,VLOOKUP(ROW()-1,Дела!$A:$K,11,0),"")</f>
        <v>Протасов Денис Николаевич</v>
      </c>
    </row>
    <row r="132" spans="1:8" ht="30" x14ac:dyDescent="0.25">
      <c r="A132" s="11">
        <f>IF(COUNTIF(Дела!$A:$A,ROW()-1)&gt;0,VLOOKUP(ROW()-1,Дела!$A:$C,3,0),"")</f>
        <v>0</v>
      </c>
      <c r="B132" s="11" t="str">
        <f>IF(COUNTIF(Дела!$A:$A,ROW()-1)&gt;0,VLOOKUP(ROW()-1,Дела!$A:$F,6,0),"")</f>
        <v>А40-36274/2024</v>
      </c>
      <c r="C132" s="11" t="str">
        <f>IF(COUNTIF(Дела!$A:$A,ROW()-1)&gt;0,VLOOKUP(ROW()-1,Дела!$A:$G,7,0),"")</f>
        <v>ООО "Евротехклимат"</v>
      </c>
      <c r="D132" s="11" t="str">
        <f>IF(COUNTIF(Дела!$A:$A,ROW()-1)&gt;0,VLOOKUP(ROW()-1,Дела!$A:$I,9,0),"")</f>
        <v>АНО "ФЦ БАС"</v>
      </c>
      <c r="E132" s="11" t="str">
        <f t="shared" si="2"/>
        <v>Олег Леонидович</v>
      </c>
      <c r="F132" s="12">
        <f>IF(COUNTIF(Дела!$A:$A,ROW()-1)&gt;0,VLOOKUP(ROW()-1,Дела!$A:$M,13,0),"")</f>
        <v>701865.39</v>
      </c>
      <c r="G132" s="13">
        <f>IF(COUNTIF(Дела!$A:$A,ROW()-1)&gt;0,VLOOKUP(ROW()-1,Дела!$A:$N,14,0),"")</f>
        <v>45344</v>
      </c>
      <c r="H132" s="11" t="str">
        <f>IF(COUNTIF(Дела!$A:$A,ROW()-1)&gt;0,VLOOKUP(ROW()-1,Дела!$A:$K,11,0),"")</f>
        <v>Рузский Олег Леонидович</v>
      </c>
    </row>
    <row r="133" spans="1:8" ht="30" x14ac:dyDescent="0.25">
      <c r="A133" s="11" t="str">
        <f>IF(COUNTIF(Дела!$A:$A,ROW()-1)&gt;0,VLOOKUP(ROW()-1,Дела!$A:$C,3,0),"")</f>
        <v>+7 (985) 924-50-10</v>
      </c>
      <c r="B133" s="11" t="str">
        <f>IF(COUNTIF(Дела!$A:$A,ROW()-1)&gt;0,VLOOKUP(ROW()-1,Дела!$A:$F,6,0),"")</f>
        <v>А40-36231/2024</v>
      </c>
      <c r="C133" s="11" t="str">
        <f>IF(COUNTIF(Дела!$A:$A,ROW()-1)&gt;0,VLOOKUP(ROW()-1,Дела!$A:$G,7,0),"")</f>
        <v>ООО " Поинтлайн "</v>
      </c>
      <c r="D133" s="11" t="str">
        <f>IF(COUNTIF(Дела!$A:$A,ROW()-1)&gt;0,VLOOKUP(ROW()-1,Дела!$A:$I,9,0),"")</f>
        <v>ООО "Мирарт Лифт"</v>
      </c>
      <c r="E133" s="11" t="str">
        <f t="shared" si="2"/>
        <v>Гайк Гагикович</v>
      </c>
      <c r="F133" s="12">
        <f>IF(COUNTIF(Дела!$A:$A,ROW()-1)&gt;0,VLOOKUP(ROW()-1,Дела!$A:$M,13,0),"")</f>
        <v>4525487.4400000004</v>
      </c>
      <c r="G133" s="13">
        <f>IF(COUNTIF(Дела!$A:$A,ROW()-1)&gt;0,VLOOKUP(ROW()-1,Дела!$A:$N,14,0),"")</f>
        <v>45344</v>
      </c>
      <c r="H133" s="11" t="str">
        <f>IF(COUNTIF(Дела!$A:$A,ROW()-1)&gt;0,VLOOKUP(ROW()-1,Дела!$A:$K,11,0),"")</f>
        <v>Мириджанян Гайк Гагикович</v>
      </c>
    </row>
    <row r="134" spans="1:8" ht="45" x14ac:dyDescent="0.25">
      <c r="A134" s="11">
        <f>IF(COUNTIF(Дела!$A:$A,ROW()-1)&gt;0,VLOOKUP(ROW()-1,Дела!$A:$C,3,0),"")</f>
        <v>0</v>
      </c>
      <c r="B134" s="11" t="str">
        <f>IF(COUNTIF(Дела!$A:$A,ROW()-1)&gt;0,VLOOKUP(ROW()-1,Дела!$A:$F,6,0),"")</f>
        <v>А40-36101/2024</v>
      </c>
      <c r="C134" s="11" t="str">
        <f>IF(COUNTIF(Дела!$A:$A,ROW()-1)&gt;0,VLOOKUP(ROW()-1,Дела!$A:$G,7,0),"")</f>
        <v>АО "ЖЭУК "Заречная"</v>
      </c>
      <c r="D134" s="11" t="str">
        <f>IF(COUNTIF(Дела!$A:$A,ROW()-1)&gt;0,VLOOKUP(ROW()-1,Дела!$A:$I,9,0),"")</f>
        <v>ИП Галкина Екатерина Валерьевна</v>
      </c>
      <c r="E134" s="11" t="str">
        <f t="shared" si="2"/>
        <v>Екатерина Валерьевна</v>
      </c>
      <c r="F134" s="12">
        <f>IF(COUNTIF(Дела!$A:$A,ROW()-1)&gt;0,VLOOKUP(ROW()-1,Дела!$A:$M,13,0),"")</f>
        <v>940726.22</v>
      </c>
      <c r="G134" s="13">
        <f>IF(COUNTIF(Дела!$A:$A,ROW()-1)&gt;0,VLOOKUP(ROW()-1,Дела!$A:$N,14,0),"")</f>
        <v>45343</v>
      </c>
      <c r="H134" s="11" t="str">
        <f>IF(COUNTIF(Дела!$A:$A,ROW()-1)&gt;0,VLOOKUP(ROW()-1,Дела!$A:$K,11,0),"")</f>
        <v>Галкина Екатерина Валерьевна</v>
      </c>
    </row>
    <row r="135" spans="1:8" ht="30" x14ac:dyDescent="0.25">
      <c r="A135" s="11" t="str">
        <f>IF(COUNTIF(Дела!$A:$A,ROW()-1)&gt;0,VLOOKUP(ROW()-1,Дела!$A:$C,3,0),"")</f>
        <v>+7 (495) 775-55-05</v>
      </c>
      <c r="B135" s="11" t="str">
        <f>IF(COUNTIF(Дела!$A:$A,ROW()-1)&gt;0,VLOOKUP(ROW()-1,Дела!$A:$F,6,0),"")</f>
        <v>А41-14704/2024</v>
      </c>
      <c r="C135" s="11" t="str">
        <f>IF(COUNTIF(Дела!$A:$A,ROW()-1)&gt;0,VLOOKUP(ROW()-1,Дела!$A:$G,7,0),"")</f>
        <v>ООО "Домашний Заготовщик"</v>
      </c>
      <c r="D135" s="11" t="str">
        <f>IF(COUNTIF(Дела!$A:$A,ROW()-1)&gt;0,VLOOKUP(ROW()-1,Дела!$A:$I,9,0),"")</f>
        <v>ООО "Вайлдберриз"</v>
      </c>
      <c r="E135" s="11" t="str">
        <f t="shared" si="2"/>
        <v>Татьяна Владимировна</v>
      </c>
      <c r="F135" s="12">
        <f>IF(COUNTIF(Дела!$A:$A,ROW()-1)&gt;0,VLOOKUP(ROW()-1,Дела!$A:$M,13,0),"")</f>
        <v>2424947</v>
      </c>
      <c r="G135" s="13">
        <f>IF(COUNTIF(Дела!$A:$A,ROW()-1)&gt;0,VLOOKUP(ROW()-1,Дела!$A:$N,14,0),"")</f>
        <v>45344</v>
      </c>
      <c r="H135" s="11" t="str">
        <f>IF(COUNTIF(Дела!$A:$A,ROW()-1)&gt;0,VLOOKUP(ROW()-1,Дела!$A:$K,11,0),"")</f>
        <v>Бакальчук Татьяна Владимировна</v>
      </c>
    </row>
    <row r="136" spans="1:8" ht="30" x14ac:dyDescent="0.25">
      <c r="A136" s="11" t="str">
        <f>IF(COUNTIF(Дела!$A:$A,ROW()-1)&gt;0,VLOOKUP(ROW()-1,Дела!$A:$C,3,0),"")</f>
        <v>+7 (495) 775-55-05</v>
      </c>
      <c r="B136" s="11" t="str">
        <f>IF(COUNTIF(Дела!$A:$A,ROW()-1)&gt;0,VLOOKUP(ROW()-1,Дела!$A:$F,6,0),"")</f>
        <v>А41-14705/2024</v>
      </c>
      <c r="C136" s="11" t="str">
        <f>IF(COUNTIF(Дела!$A:$A,ROW()-1)&gt;0,VLOOKUP(ROW()-1,Дела!$A:$G,7,0),"")</f>
        <v>ООО "КСМ"</v>
      </c>
      <c r="D136" s="11" t="str">
        <f>IF(COUNTIF(Дела!$A:$A,ROW()-1)&gt;0,VLOOKUP(ROW()-1,Дела!$A:$I,9,0),"")</f>
        <v>ООО "Вайлдберриз"</v>
      </c>
      <c r="E136" s="11" t="str">
        <f t="shared" si="2"/>
        <v>Татьяна Владимировна</v>
      </c>
      <c r="F136" s="12">
        <f>IF(COUNTIF(Дела!$A:$A,ROW()-1)&gt;0,VLOOKUP(ROW()-1,Дела!$A:$M,13,0),"")</f>
        <v>722930.52</v>
      </c>
      <c r="G136" s="13">
        <f>IF(COUNTIF(Дела!$A:$A,ROW()-1)&gt;0,VLOOKUP(ROW()-1,Дела!$A:$N,14,0),"")</f>
        <v>45344</v>
      </c>
      <c r="H136" s="11" t="str">
        <f>IF(COUNTIF(Дела!$A:$A,ROW()-1)&gt;0,VLOOKUP(ROW()-1,Дела!$A:$K,11,0),"")</f>
        <v>Бакальчук Татьяна Владимировна</v>
      </c>
    </row>
    <row r="137" spans="1:8" ht="30" x14ac:dyDescent="0.25">
      <c r="A137" s="11">
        <f>IF(COUNTIF(Дела!$A:$A,ROW()-1)&gt;0,VLOOKUP(ROW()-1,Дела!$A:$C,3,0),"")</f>
        <v>0</v>
      </c>
      <c r="B137" s="11" t="str">
        <f>IF(COUNTIF(Дела!$A:$A,ROW()-1)&gt;0,VLOOKUP(ROW()-1,Дела!$A:$F,6,0),"")</f>
        <v>А40-35978/2024</v>
      </c>
      <c r="C137" s="11" t="str">
        <f>IF(COUNTIF(Дела!$A:$A,ROW()-1)&gt;0,VLOOKUP(ROW()-1,Дела!$A:$G,7,0),"")</f>
        <v>ООО "Электростарт"</v>
      </c>
      <c r="D137" s="11" t="str">
        <f>IF(COUNTIF(Дела!$A:$A,ROW()-1)&gt;0,VLOOKUP(ROW()-1,Дела!$A:$I,9,0),"")</f>
        <v>ООО "Оптима Инжиниринг"</v>
      </c>
      <c r="E137" s="11" t="str">
        <f t="shared" si="2"/>
        <v>Рамиля Дамировна</v>
      </c>
      <c r="F137" s="12">
        <f>IF(COUNTIF(Дела!$A:$A,ROW()-1)&gt;0,VLOOKUP(ROW()-1,Дела!$A:$M,13,0),"")</f>
        <v>654604</v>
      </c>
      <c r="G137" s="13">
        <f>IF(COUNTIF(Дела!$A:$A,ROW()-1)&gt;0,VLOOKUP(ROW()-1,Дела!$A:$N,14,0),"")</f>
        <v>45343</v>
      </c>
      <c r="H137" s="11" t="str">
        <f>IF(COUNTIF(Дела!$A:$A,ROW()-1)&gt;0,VLOOKUP(ROW()-1,Дела!$A:$K,11,0),"")</f>
        <v>Хасанова Рамиля Дамировна</v>
      </c>
    </row>
    <row r="138" spans="1:8" ht="409.5" x14ac:dyDescent="0.25">
      <c r="A138" s="11" t="str">
        <f>IF(COUNTIF(Дела!$A:$A,ROW()-1)&gt;0,VLOOKUP(ROW()-1,Дела!$A:$C,3,0),"")</f>
        <v>+7 (495) 139-21-29_x000D_
+7 (916) 610-81-16_x000D_
+7 (985) 643-65-45_x000D_
+7 (967) 221-78-76_x000D_
+7 (495) 139-21-29, доб 2481_x000D_
+7 (915) 121-00-21_x000D_
+7 (977) 583-91-88_x000D_
+7 (495) 139-21-99_x000D_
+7 (495) 139-21-29, доб 2532_x000D_
+7 (926) 779-12-19_x000D_
+7 (495) 139-21-29, доб 2536_x000D_
+7 (495) 139-21-29, доб 2312_x000D_
+7 (495) 500-55-50_x000D_
+7 (495) 131-24-31_x000D_
8 (800) 555-55-57_x000D_
+7 (495) 641-00-84</v>
      </c>
      <c r="B138" s="11" t="str">
        <f>IF(COUNTIF(Дела!$A:$A,ROW()-1)&gt;0,VLOOKUP(ROW()-1,Дела!$A:$F,6,0),"")</f>
        <v>А40-35935/2024</v>
      </c>
      <c r="C138" s="11" t="str">
        <f>IF(COUNTIF(Дела!$A:$A,ROW()-1)&gt;0,VLOOKUP(ROW()-1,Дела!$A:$G,7,0),"")</f>
        <v>ООО "Арсенал Плюс"</v>
      </c>
      <c r="D138" s="11" t="str">
        <f>IF(COUNTIF(Дела!$A:$A,ROW()-1)&gt;0,VLOOKUP(ROW()-1,Дела!$A:$I,9,0),"")</f>
        <v>ООО СК "Сбербанк Страхование"</v>
      </c>
      <c r="E138" s="11" t="str">
        <f t="shared" si="2"/>
        <v/>
      </c>
      <c r="F138" s="12">
        <f>IF(COUNTIF(Дела!$A:$A,ROW()-1)&gt;0,VLOOKUP(ROW()-1,Дела!$A:$M,13,0),"")</f>
        <v>184500000</v>
      </c>
      <c r="G138" s="13">
        <f>IF(COUNTIF(Дела!$A:$A,ROW()-1)&gt;0,VLOOKUP(ROW()-1,Дела!$A:$N,14,0),"")</f>
        <v>45343</v>
      </c>
      <c r="H138" s="11" t="str">
        <f>IF(COUNTIF(Дела!$A:$A,ROW()-1)&gt;0,VLOOKUP(ROW()-1,Дела!$A:$K,11,0),"")</f>
        <v/>
      </c>
    </row>
    <row r="139" spans="1:8" ht="409.5" x14ac:dyDescent="0.25">
      <c r="A139" s="11" t="str">
        <f>IF(COUNTIF(Дела!$A:$A,ROW()-1)&gt;0,VLOOKUP(ROW()-1,Дела!$A:$C,3,0),"")</f>
        <v>+7 (3537) 66-20-75_x000D_
+7 (3537) 66-21-53_x000D_
+7 (3537) 66-22-58_x000D_
+7 (3537) 66-28-11_x000D_
+7 (903) 365-14-55_x000D_
+7 (3537) 66-20-77_x000D_
+7 (343) 361-28-19_x000D_
+7 (3537) 63-14-45_x000D_
+7 (3537) 65-98-27_x000D_
+7 (3537) 66-21-47_x000D_
+7 (3537) 66-22-59_x000D_
+7 (83532) 6-62-07, доб 5_x000D_
+7 (3537) 66-22-12_x000D_
+7 (3537) 46-23-52_x000D_
+7 (3537) 66-22-80_x000D_
+7 (3537) 66-24-98_x000D_
+7 (3537) 66-27-89_x000D_
+7 (3537) 66-61-02_x000D_
+7 (3537) 66-66-01_x000D_
+7 (3537) 65-70-26_x000D_
+7 (83537) 6-20-01, доб 4_x000D_
+7 (3537) 77-77-01, доб 542_x000D_
+7 (3537) 77-77-01_x000D_
+7 (3532) 99-88-55_x000D_
+7 (3537) 65-70-09_x000D_
+7 (3537) 77-77-01, доб 543_x000D_
+7 (3537) 65-70-20_x000D_
+7 (8793) 35-37-62, доб 077_x000D_
+7 (3537) 66-20-90</v>
      </c>
      <c r="B139" s="11" t="str">
        <f>IF(COUNTIF(Дела!$A:$A,ROW()-1)&gt;0,VLOOKUP(ROW()-1,Дела!$A:$F,6,0),"")</f>
        <v>А41-14709/2024</v>
      </c>
      <c r="C139" s="11" t="str">
        <f>IF(COUNTIF(Дела!$A:$A,ROW()-1)&gt;0,VLOOKUP(ROW()-1,Дела!$A:$G,7,0),"")</f>
        <v>ООО "Транспортные Технологии"</v>
      </c>
      <c r="D139" s="11" t="str">
        <f>IF(COUNTIF(Дела!$A:$A,ROW()-1)&gt;0,VLOOKUP(ROW()-1,Дела!$A:$I,9,0),"")</f>
        <v>АО "Уральская Сталь"</v>
      </c>
      <c r="E139" s="11" t="str">
        <f t="shared" si="2"/>
        <v/>
      </c>
      <c r="F139" s="12">
        <f>IF(COUNTIF(Дела!$A:$A,ROW()-1)&gt;0,VLOOKUP(ROW()-1,Дела!$A:$M,13,0),"")</f>
        <v>545300</v>
      </c>
      <c r="G139" s="13">
        <f>IF(COUNTIF(Дела!$A:$A,ROW()-1)&gt;0,VLOOKUP(ROW()-1,Дела!$A:$N,14,0),"")</f>
        <v>45344</v>
      </c>
      <c r="H139" s="11" t="str">
        <f>IF(COUNTIF(Дела!$A:$A,ROW()-1)&gt;0,VLOOKUP(ROW()-1,Дела!$A:$K,11,0),"")</f>
        <v/>
      </c>
    </row>
    <row r="140" spans="1:8" ht="409.5" x14ac:dyDescent="0.25">
      <c r="A140" s="11" t="str">
        <f>IF(COUNTIF(Дела!$A:$A,ROW()-1)&gt;0,VLOOKUP(ROW()-1,Дела!$A:$C,3,0),"")</f>
        <v>+7 (3537) 66-20-75_x000D_
+7 (3537) 66-21-53_x000D_
+7 (3537) 66-22-58_x000D_
+7 (3537) 66-28-11_x000D_
+7 (903) 365-14-55_x000D_
+7 (3537) 66-20-77_x000D_
+7 (343) 361-28-19_x000D_
+7 (3537) 63-14-45_x000D_
+7 (3537) 65-98-27_x000D_
+7 (3537) 66-21-47_x000D_
+7 (3537) 66-22-59_x000D_
+7 (83532) 6-62-07, доб 5_x000D_
+7 (3537) 66-22-12_x000D_
+7 (3537) 46-23-52_x000D_
+7 (3537) 66-22-80_x000D_
+7 (3537) 66-24-98_x000D_
+7 (3537) 66-27-89_x000D_
+7 (3537) 66-61-02_x000D_
+7 (3537) 66-66-01_x000D_
+7 (3537) 65-70-26_x000D_
+7 (83537) 6-20-01, доб 4_x000D_
+7 (3537) 77-77-01, доб 542_x000D_
+7 (3537) 77-77-01_x000D_
+7 (3532) 99-88-55_x000D_
+7 (3537) 65-70-09_x000D_
+7 (3537) 77-77-01, доб 543_x000D_
+7 (3537) 65-70-20_x000D_
+7 (8793) 35-37-62, доб 077_x000D_
+7 (3537) 66-20-90</v>
      </c>
      <c r="B140" s="11" t="str">
        <f>IF(COUNTIF(Дела!$A:$A,ROW()-1)&gt;0,VLOOKUP(ROW()-1,Дела!$A:$F,6,0),"")</f>
        <v>А41-14708/2024</v>
      </c>
      <c r="C140" s="11" t="str">
        <f>IF(COUNTIF(Дела!$A:$A,ROW()-1)&gt;0,VLOOKUP(ROW()-1,Дела!$A:$G,7,0),"")</f>
        <v>ООО "Транспортные Технологии"</v>
      </c>
      <c r="D140" s="11" t="str">
        <f>IF(COUNTIF(Дела!$A:$A,ROW()-1)&gt;0,VLOOKUP(ROW()-1,Дела!$A:$I,9,0),"")</f>
        <v>АО "Уральская Сталь"</v>
      </c>
      <c r="E140" s="11" t="str">
        <f t="shared" si="2"/>
        <v/>
      </c>
      <c r="F140" s="12">
        <f>IF(COUNTIF(Дела!$A:$A,ROW()-1)&gt;0,VLOOKUP(ROW()-1,Дела!$A:$M,13,0),"")</f>
        <v>559650</v>
      </c>
      <c r="G140" s="13">
        <f>IF(COUNTIF(Дела!$A:$A,ROW()-1)&gt;0,VLOOKUP(ROW()-1,Дела!$A:$N,14,0),"")</f>
        <v>45344</v>
      </c>
      <c r="H140" s="11" t="str">
        <f>IF(COUNTIF(Дела!$A:$A,ROW()-1)&gt;0,VLOOKUP(ROW()-1,Дела!$A:$K,11,0),"")</f>
        <v/>
      </c>
    </row>
    <row r="141" spans="1:8" ht="30" x14ac:dyDescent="0.25">
      <c r="A141" s="11" t="str">
        <f>IF(COUNTIF(Дела!$A:$A,ROW()-1)&gt;0,VLOOKUP(ROW()-1,Дела!$A:$C,3,0),"")</f>
        <v>+7 (985) 354-08-08</v>
      </c>
      <c r="B141" s="11" t="str">
        <f>IF(COUNTIF(Дела!$A:$A,ROW()-1)&gt;0,VLOOKUP(ROW()-1,Дела!$A:$F,6,0),"")</f>
        <v>А41-14711/2024</v>
      </c>
      <c r="C141" s="11" t="str">
        <f>IF(COUNTIF(Дела!$A:$A,ROW()-1)&gt;0,VLOOKUP(ROW()-1,Дела!$A:$G,7,0),"")</f>
        <v>ООО "СМТ-Строй"</v>
      </c>
      <c r="D141" s="11" t="str">
        <f>IF(COUNTIF(Дела!$A:$A,ROW()-1)&gt;0,VLOOKUP(ROW()-1,Дела!$A:$I,9,0),"")</f>
        <v>ООО "Мультистрой"</v>
      </c>
      <c r="E141" s="11" t="str">
        <f t="shared" si="2"/>
        <v>Арутюн Оганесович</v>
      </c>
      <c r="F141" s="12">
        <f>IF(COUNTIF(Дела!$A:$A,ROW()-1)&gt;0,VLOOKUP(ROW()-1,Дела!$A:$M,13,0),"")</f>
        <v>1000000</v>
      </c>
      <c r="G141" s="13">
        <f>IF(COUNTIF(Дела!$A:$A,ROW()-1)&gt;0,VLOOKUP(ROW()-1,Дела!$A:$N,14,0),"")</f>
        <v>45344</v>
      </c>
      <c r="H141" s="11" t="str">
        <f>IF(COUNTIF(Дела!$A:$A,ROW()-1)&gt;0,VLOOKUP(ROW()-1,Дела!$A:$K,11,0),"")</f>
        <v>Цатурян Арутюн Оганесович</v>
      </c>
    </row>
    <row r="142" spans="1:8" ht="45" x14ac:dyDescent="0.25">
      <c r="A142" s="11">
        <f>IF(COUNTIF(Дела!$A:$A,ROW()-1)&gt;0,VLOOKUP(ROW()-1,Дела!$A:$C,3,0),"")</f>
        <v>0</v>
      </c>
      <c r="B142" s="11" t="str">
        <f>IF(COUNTIF(Дела!$A:$A,ROW()-1)&gt;0,VLOOKUP(ROW()-1,Дела!$A:$F,6,0),"")</f>
        <v>А40-35455/2024</v>
      </c>
      <c r="C142" s="11" t="str">
        <f>IF(COUNTIF(Дела!$A:$A,ROW()-1)&gt;0,VLOOKUP(ROW()-1,Дела!$A:$G,7,0),"")</f>
        <v>ООО "Электронные Системы"</v>
      </c>
      <c r="D142" s="11" t="str">
        <f>IF(COUNTIF(Дела!$A:$A,ROW()-1)&gt;0,VLOOKUP(ROW()-1,Дела!$A:$I,9,0),"")</f>
        <v>ООО "ПК Строй"</v>
      </c>
      <c r="E142" s="11" t="str">
        <f t="shared" si="2"/>
        <v>Яна Сергеевна</v>
      </c>
      <c r="F142" s="12">
        <f>IF(COUNTIF(Дела!$A:$A,ROW()-1)&gt;0,VLOOKUP(ROW()-1,Дела!$A:$M,13,0),"")</f>
        <v>11133867.880000001</v>
      </c>
      <c r="G142" s="13">
        <f>IF(COUNTIF(Дела!$A:$A,ROW()-1)&gt;0,VLOOKUP(ROW()-1,Дела!$A:$N,14,0),"")</f>
        <v>45343</v>
      </c>
      <c r="H142" s="11" t="str">
        <f>IF(COUNTIF(Дела!$A:$A,ROW()-1)&gt;0,VLOOKUP(ROW()-1,Дела!$A:$K,11,0),"")</f>
        <v>Егиян Яна Сергеевна</v>
      </c>
    </row>
    <row r="143" spans="1:8" ht="30" x14ac:dyDescent="0.25">
      <c r="A143" s="11" t="str">
        <f>IF(COUNTIF(Дела!$A:$A,ROW()-1)&gt;0,VLOOKUP(ROW()-1,Дела!$A:$C,3,0),"")</f>
        <v>+7 (495) 431-29-72</v>
      </c>
      <c r="B143" s="11" t="str">
        <f>IF(COUNTIF(Дела!$A:$A,ROW()-1)&gt;0,VLOOKUP(ROW()-1,Дела!$A:$F,6,0),"")</f>
        <v>А40-35547/2024</v>
      </c>
      <c r="C143" s="11" t="str">
        <f>IF(COUNTIF(Дела!$A:$A,ROW()-1)&gt;0,VLOOKUP(ROW()-1,Дела!$A:$G,7,0),"")</f>
        <v>Госинспекция по Недвижимости</v>
      </c>
      <c r="D143" s="11" t="str">
        <f>IF(COUNTIF(Дела!$A:$A,ROW()-1)&gt;0,VLOOKUP(ROW()-1,Дела!$A:$I,9,0),"")</f>
        <v>ООО "Регнатис"</v>
      </c>
      <c r="E143" s="11" t="str">
        <f t="shared" si="2"/>
        <v>Олег Михайлович</v>
      </c>
      <c r="F143" s="12">
        <f>IF(COUNTIF(Дела!$A:$A,ROW()-1)&gt;0,VLOOKUP(ROW()-1,Дела!$A:$M,13,0),"")</f>
        <v>1350962.34</v>
      </c>
      <c r="G143" s="13">
        <f>IF(COUNTIF(Дела!$A:$A,ROW()-1)&gt;0,VLOOKUP(ROW()-1,Дела!$A:$N,14,0),"")</f>
        <v>45343</v>
      </c>
      <c r="H143" s="11" t="str">
        <f>IF(COUNTIF(Дела!$A:$A,ROW()-1)&gt;0,VLOOKUP(ROW()-1,Дела!$A:$K,11,0),"")</f>
        <v>Ахметшин Олег Михайлович</v>
      </c>
    </row>
    <row r="144" spans="1:8" ht="45" x14ac:dyDescent="0.25">
      <c r="A144" s="11">
        <f>IF(COUNTIF(Дела!$A:$A,ROW()-1)&gt;0,VLOOKUP(ROW()-1,Дела!$A:$C,3,0),"")</f>
        <v>0</v>
      </c>
      <c r="B144" s="11" t="str">
        <f>IF(COUNTIF(Дела!$A:$A,ROW()-1)&gt;0,VLOOKUP(ROW()-1,Дела!$A:$F,6,0),"")</f>
        <v>А40-35397/2024</v>
      </c>
      <c r="C144" s="11" t="str">
        <f>IF(COUNTIF(Дела!$A:$A,ROW()-1)&gt;0,VLOOKUP(ROW()-1,Дела!$A:$G,7,0),"")</f>
        <v>АО "Киностудия им. М. Горького"</v>
      </c>
      <c r="D144" s="11" t="str">
        <f>IF(COUNTIF(Дела!$A:$A,ROW()-1)&gt;0,VLOOKUP(ROW()-1,Дела!$A:$I,9,0),"")</f>
        <v>ООО "Проектный Институт Москапстрой"</v>
      </c>
      <c r="E144" s="11" t="str">
        <f t="shared" si="2"/>
        <v/>
      </c>
      <c r="F144" s="12">
        <f>IF(COUNTIF(Дела!$A:$A,ROW()-1)&gt;0,VLOOKUP(ROW()-1,Дела!$A:$M,13,0),"")</f>
        <v>7328314.9299999997</v>
      </c>
      <c r="G144" s="13">
        <f>IF(COUNTIF(Дела!$A:$A,ROW()-1)&gt;0,VLOOKUP(ROW()-1,Дела!$A:$N,14,0),"")</f>
        <v>45343</v>
      </c>
      <c r="H144" s="11" t="str">
        <f>IF(COUNTIF(Дела!$A:$A,ROW()-1)&gt;0,VLOOKUP(ROW()-1,Дела!$A:$K,11,0),"")</f>
        <v/>
      </c>
    </row>
    <row r="145" spans="1:8" ht="409.5" x14ac:dyDescent="0.25">
      <c r="A145" s="11" t="str">
        <f>IF(COUNTIF(Дела!$A:$A,ROW()-1)&gt;0,VLOOKUP(ROW()-1,Дела!$A:$C,3,0),"")</f>
        <v>+7 (495) 551-76-00_x000D_
+7 (495) 551-11-44_x000D_
+7 (495) 551-73-83_x000D_
+7 (495) 551-20-09_x000D_
+7 (495) 551-78-36_x000D_
+7 (495) 551-01-44_x000D_
+7 (495) 551-03-72_x000D_
+7 (495) 551-70-35_x000D_
+7 (495) 551-72-07_x000D_
+7 (495) 551-75-06_x000D_
+7 (495) 551-73-59_x000D_
+7 (495) 551-74-44_x000D_
+7 (495) 551-20-11_x000D_
+7 (495) 551-78-50_x000D_
+7 (495) 551-72-00</v>
      </c>
      <c r="B145" s="11" t="str">
        <f>IF(COUNTIF(Дела!$A:$A,ROW()-1)&gt;0,VLOOKUP(ROW()-1,Дела!$A:$F,6,0),"")</f>
        <v>А41-14712/2024</v>
      </c>
      <c r="C145" s="11" t="str">
        <f>IF(COUNTIF(Дела!$A:$A,ROW()-1)&gt;0,VLOOKUP(ROW()-1,Дела!$A:$G,7,0),"")</f>
        <v>ФГУП "Охрана" Росгвардии</v>
      </c>
      <c r="D145" s="11" t="str">
        <f>IF(COUNTIF(Дела!$A:$A,ROW()-1)&gt;0,VLOOKUP(ROW()-1,Дела!$A:$I,9,0),"")</f>
        <v>ФГУП "ФЦДТ "Союз"</v>
      </c>
      <c r="E145" s="11" t="str">
        <f t="shared" si="2"/>
        <v>Юрий Михайлович</v>
      </c>
      <c r="F145" s="12">
        <f>IF(COUNTIF(Дела!$A:$A,ROW()-1)&gt;0,VLOOKUP(ROW()-1,Дела!$A:$M,13,0),"")</f>
        <v>20751858</v>
      </c>
      <c r="G145" s="13">
        <f>IF(COUNTIF(Дела!$A:$A,ROW()-1)&gt;0,VLOOKUP(ROW()-1,Дела!$A:$N,14,0),"")</f>
        <v>45344</v>
      </c>
      <c r="H145" s="11" t="str">
        <f>IF(COUNTIF(Дела!$A:$A,ROW()-1)&gt;0,VLOOKUP(ROW()-1,Дела!$A:$K,11,0),"")</f>
        <v>Милехин Юрий Михайлович</v>
      </c>
    </row>
    <row r="146" spans="1:8" ht="60" x14ac:dyDescent="0.25">
      <c r="A146" s="11" t="str">
        <f>IF(COUNTIF(Дела!$A:$A,ROW()-1)&gt;0,VLOOKUP(ROW()-1,Дела!$A:$C,3,0),"")</f>
        <v>+7 (495) 941-61-64_x000D_
+7 (495) 941-61-65</v>
      </c>
      <c r="B146" s="11" t="str">
        <f>IF(COUNTIF(Дела!$A:$A,ROW()-1)&gt;0,VLOOKUP(ROW()-1,Дела!$A:$F,6,0),"")</f>
        <v>А40-35436/2024</v>
      </c>
      <c r="C146" s="11" t="str">
        <f>IF(COUNTIF(Дела!$A:$A,ROW()-1)&gt;0,VLOOKUP(ROW()-1,Дела!$A:$G,7,0),"")</f>
        <v>ООО "Всеинструменты.Ру"</v>
      </c>
      <c r="D146" s="11" t="str">
        <f>IF(COUNTIF(Дела!$A:$A,ROW()-1)&gt;0,VLOOKUP(ROW()-1,Дела!$A:$I,9,0),"")</f>
        <v>ООО "Ант Япы"</v>
      </c>
      <c r="E146" s="11" t="str">
        <f t="shared" si="2"/>
        <v>Генджай</v>
      </c>
      <c r="F146" s="12">
        <f>IF(COUNTIF(Дела!$A:$A,ROW()-1)&gt;0,VLOOKUP(ROW()-1,Дела!$A:$M,13,0),"")</f>
        <v>1541726.68</v>
      </c>
      <c r="G146" s="13">
        <f>IF(COUNTIF(Дела!$A:$A,ROW()-1)&gt;0,VLOOKUP(ROW()-1,Дела!$A:$N,14,0),"")</f>
        <v>45343</v>
      </c>
      <c r="H146" s="11" t="str">
        <f>IF(COUNTIF(Дела!$A:$A,ROW()-1)&gt;0,VLOOKUP(ROW()-1,Дела!$A:$K,11,0),"")</f>
        <v>Акай Генджай</v>
      </c>
    </row>
    <row r="147" spans="1:8" ht="409.5" x14ac:dyDescent="0.25">
      <c r="A147" s="11" t="str">
        <f>IF(COUNTIF(Дела!$A:$A,ROW()-1)&gt;0,VLOOKUP(ROW()-1,Дела!$A:$C,3,0),"")</f>
        <v>+7 (495) 111-11-11_x000D_
+7 (495) 550-60-47_x000D_
+7 (495) 571-02-26_x000D_
+7 (495) 660-70-45_x000D_
+7 (495) 780-39-62_x000D_
+7 (49646) 7-73-19_x000D_
+7 (4967) 69-98-75_x000D_
+7 (495) 780-00-54_x000D_
+7 (495) 575-75-44_x000D_
+7 (495) 590-38-05_x000D_
+7 (495) 950-83-54_x000D_
+7 (495) 987-18-31_x000D_
+7 (49644) 2-36-84_x000D_
+7 (49645) 2-33-60_x000D_
+7 (49646) 7-73-75_x000D_
+7 (498) 602-13-13_x000D_
+7 (498) 602-27-28_x000D_
+7 (498) 676-05-32_x000D_
+7 (916) 162-26-23_x000D_
+7 (963) 726-87-30_x000D_
+7 (495) 780-39-62, доб 2031_x000D_
+7 (495) 780-39-62, доб 1121_x000D_
+7 (495) 780-39-62, доб 1120_x000D_
+7 (495) 651-92-35_x000D_
+7 (495) 123-45-67_x000D_
+7 (495) 547-74-50_x000D_
+7 (495) 562-32-53_x000D_
+7 (49657) 5-90-69_x000D_
+7 (4966) 12-52-00_x000D_
+7 (495) 586-70-07_x000D_
+7 (49679) 4-30-32_x000D_
+7 (495) 308-82-11_x000D_
+7 (49646) 9-42-30_x000D_
+7 (499) 705-90-10_x000D_
+7 (49656) 6-94-93_x000D_
+7 (498) 562-32-53_x000D_
+7 (495) 949-67-69_x000D_
+7 (49654) 0-21-37_x000D_
+7 (49654) 7-77-35_x000D_
+7 (495) 780-39-22_x000D_
+7 (495) 609-80-33_x000D_
+7 (49656) 2-11-77_x000D_
+7 (495) 597-38-53_x000D_
+7 (49643) 5-93-45_x000D_
+7 (495) 586-81-55_x000D_
+7 (49644) 1-15-31_x000D_
+7 (495) 566-94-93_x000D_
+7 (495) 780-30-30_x000D_
+7 (495) 586-15-89, доб 35_x000D_
+7 (495) 995-00-99_x000D_
+7 (49634) 3-15-09_x000D_
+7 (903) 773-23-00_x000D_
+7 (4967) 79-43-03, доб 2_x000D_
+7 (49657) 4-47-50_x000D_
+7 (916) 725-41-18_x000D_
+7 (49643) 5-93-88_x000D_
+7 (495) 571-23-70_x000D_
+7 (495) 722-14-48_x000D_
+7 (49672) 2-14-48_x000D_
+7 (49656) 4-15-27_x000D_
+7 (499) 777-77-77_x000D_
+7 (495) 780-39-60_x000D_
+7 (495) 586-45-79_x000D_
+7 (496) 551-51-14_x000D_
+7 (49654) 7-74-50_x000D_
+7 (495) 785-00-00, доб 1085_x000D_
+7 (4967) 35-19-09_x000D_
+7 (49640) 4-50-70_x000D_
+7 (49646) 4-67-73, доб 19_x000D_
+7 (49644) 2-03-03_x000D_
+7 (926) 904-56-14_x000D_
+7 (495) 541-50-74_x000D_
+7 (49644) 2-31-21_x000D_
+7 (495) 123-65-45_x000D_
+7 (495) 785-00-00_x000D_
+7 (495) 593-18-94_x000D_
+7 (495) 582-13-00_x000D_
+7 (495) 550-20-38_x000D_
+7 (486) 442-21-35_x000D_
+7 (495) 662-40-70_x000D_
+7 (49645) 3-03-21_x000D_
+7 (49656) 9-50-50_x000D_
+7 (4966) 14-43-94_x000D_
+7 (498) 595-56-60_x000D_
+7 (495) 597-27-05_x000D_
+7 (495) 732-41-14_x000D_
+7 (495) 576-23-28_x000D_
+7 (495) 557-45-01_x000D_
+7 (495) 593-72-61_x000D_
+7 (4967) 70-51-35_x000D_
+7 (49664) 2-58-11_x000D_
+7 (495) 562-01-58_x000D_
+7 (49644) 2-21-35_x000D_
+7 (49634) 3-15-99_x000D_
+7 (49644) 2-58-37_x000D_
+7 (495) 575-90-69_x000D_
+7 (495) 503-64-96_x000D_
+7 (495) 593-47-60_x000D_
+7 (49624) 5-80-24_x000D_
+7 (499) 647-72-96</v>
      </c>
      <c r="B147" s="11" t="str">
        <f>IF(COUNTIF(Дела!$A:$A,ROW()-1)&gt;0,VLOOKUP(ROW()-1,Дела!$A:$F,6,0),"")</f>
        <v>А41-14713/2024</v>
      </c>
      <c r="C147" s="11" t="str">
        <f>IF(COUNTIF(Дела!$A:$A,ROW()-1)&gt;0,VLOOKUP(ROW()-1,Дела!$A:$G,7,0),"")</f>
        <v>АО "Мосэнергосбыт"</v>
      </c>
      <c r="D147" s="11" t="str">
        <f>IF(COUNTIF(Дела!$A:$A,ROW()-1)&gt;0,VLOOKUP(ROW()-1,Дела!$A:$I,9,0),"")</f>
        <v>АО "Мособлэнерго"</v>
      </c>
      <c r="E147" s="11" t="str">
        <f t="shared" si="2"/>
        <v>Владимир Александрович</v>
      </c>
      <c r="F147" s="12">
        <f>IF(COUNTIF(Дела!$A:$A,ROW()-1)&gt;0,VLOOKUP(ROW()-1,Дела!$A:$M,13,0),"")</f>
        <v>3800745.21</v>
      </c>
      <c r="G147" s="13">
        <f>IF(COUNTIF(Дела!$A:$A,ROW()-1)&gt;0,VLOOKUP(ROW()-1,Дела!$A:$N,14,0),"")</f>
        <v>45344</v>
      </c>
      <c r="H147" s="11" t="str">
        <f>IF(COUNTIF(Дела!$A:$A,ROW()-1)&gt;0,VLOOKUP(ROW()-1,Дела!$A:$K,11,0),"")</f>
        <v>Бойко Владимир Александрович</v>
      </c>
    </row>
    <row r="148" spans="1:8" ht="300" x14ac:dyDescent="0.25">
      <c r="A148" s="11" t="str">
        <f>IF(COUNTIF(Дела!$A:$A,ROW()-1)&gt;0,VLOOKUP(ROW()-1,Дела!$A:$C,3,0),"")</f>
        <v>+7 (495) 917-09-90_x000D_
+7 (495) 626-23-13_x000D_
+7 (495) 626-23-64_x000D_
+7 (495) 626-24-44_x000D_
+7 (495) 628-78-96_x000D_
+7 (495) 632-23-13_x000D_
+7 (495) 626-29-82_x000D_
+7 (495) 626-23-51_x000D_
+7 (495) 626-23-44_x000D_
+7 (495) 626-23-44, доб 4515</v>
      </c>
      <c r="B148" s="11" t="str">
        <f>IF(COUNTIF(Дела!$A:$A,ROW()-1)&gt;0,VLOOKUP(ROW()-1,Дела!$A:$F,6,0),"")</f>
        <v>А40-35265/2024</v>
      </c>
      <c r="C148" s="11" t="str">
        <f>IF(COUNTIF(Дела!$A:$A,ROW()-1)&gt;0,VLOOKUP(ROW()-1,Дела!$A:$G,7,0),"")</f>
        <v>Минобороны России</v>
      </c>
      <c r="D148" s="11" t="str">
        <f>IF(COUNTIF(Дела!$A:$A,ROW()-1)&gt;0,VLOOKUP(ROW()-1,Дела!$A:$I,9,0),"")</f>
        <v>АО "Мнирти"</v>
      </c>
      <c r="E148" s="11" t="str">
        <f t="shared" si="2"/>
        <v>Михаил Юрьевич</v>
      </c>
      <c r="F148" s="12">
        <f>IF(COUNTIF(Дела!$A:$A,ROW()-1)&gt;0,VLOOKUP(ROW()-1,Дела!$A:$M,13,0),"")</f>
        <v>4641366.67</v>
      </c>
      <c r="G148" s="13">
        <f>IF(COUNTIF(Дела!$A:$A,ROW()-1)&gt;0,VLOOKUP(ROW()-1,Дела!$A:$N,14,0),"")</f>
        <v>45343</v>
      </c>
      <c r="H148" s="11" t="str">
        <f>IF(COUNTIF(Дела!$A:$A,ROW()-1)&gt;0,VLOOKUP(ROW()-1,Дела!$A:$K,11,0),"")</f>
        <v>Калужский Михаил Юрьевич</v>
      </c>
    </row>
    <row r="149" spans="1:8" ht="45" x14ac:dyDescent="0.25">
      <c r="A149" s="11" t="str">
        <f>IF(COUNTIF(Дела!$A:$A,ROW()-1)&gt;0,VLOOKUP(ROW()-1,Дела!$A:$C,3,0),"")</f>
        <v>+7 (495) 980-24-44</v>
      </c>
      <c r="B149" s="11" t="str">
        <f>IF(COUNTIF(Дела!$A:$A,ROW()-1)&gt;0,VLOOKUP(ROW()-1,Дела!$A:$F,6,0),"")</f>
        <v>А41-14715/2024</v>
      </c>
      <c r="C149" s="11" t="str">
        <f>IF(COUNTIF(Дела!$A:$A,ROW()-1)&gt;0,VLOOKUP(ROW()-1,Дела!$A:$G,7,0),"")</f>
        <v>АО "Национальный Перевозчик"</v>
      </c>
      <c r="D149" s="11" t="str">
        <f>IF(COUNTIF(Дела!$A:$A,ROW()-1)&gt;0,VLOOKUP(ROW()-1,Дела!$A:$I,9,0),"")</f>
        <v>ООО "Азбука Логистики"</v>
      </c>
      <c r="E149" s="11" t="str">
        <f t="shared" si="2"/>
        <v>Евгений Николаевич</v>
      </c>
      <c r="F149" s="12">
        <f>IF(COUNTIF(Дела!$A:$A,ROW()-1)&gt;0,VLOOKUP(ROW()-1,Дела!$A:$M,13,0),"")</f>
        <v>1152220</v>
      </c>
      <c r="G149" s="13">
        <f>IF(COUNTIF(Дела!$A:$A,ROW()-1)&gt;0,VLOOKUP(ROW()-1,Дела!$A:$N,14,0),"")</f>
        <v>45344</v>
      </c>
      <c r="H149" s="11" t="str">
        <f>IF(COUNTIF(Дела!$A:$A,ROW()-1)&gt;0,VLOOKUP(ROW()-1,Дела!$A:$K,11,0),"")</f>
        <v>Ширченко Евгений Николаевич</v>
      </c>
    </row>
    <row r="150" spans="1:8" ht="30" x14ac:dyDescent="0.25">
      <c r="A150" s="11">
        <f>IF(COUNTIF(Дела!$A:$A,ROW()-1)&gt;0,VLOOKUP(ROW()-1,Дела!$A:$C,3,0),"")</f>
        <v>0</v>
      </c>
      <c r="B150" s="11" t="str">
        <f>IF(COUNTIF(Дела!$A:$A,ROW()-1)&gt;0,VLOOKUP(ROW()-1,Дела!$A:$F,6,0),"")</f>
        <v>А41-14714/2024</v>
      </c>
      <c r="C150" s="11" t="str">
        <f>IF(COUNTIF(Дела!$A:$A,ROW()-1)&gt;0,VLOOKUP(ROW()-1,Дела!$A:$G,7,0),"")</f>
        <v>ФГУП "Охрана" Росгвардии</v>
      </c>
      <c r="D150" s="11">
        <f>IF(COUNTIF(Дела!$A:$A,ROW()-1)&gt;0,VLOOKUP(ROW()-1,Дела!$A:$I,9,0),"")</f>
        <v>0</v>
      </c>
      <c r="E150" s="11" t="e">
        <f t="shared" si="2"/>
        <v>#VALUE!</v>
      </c>
      <c r="F150" s="12">
        <f>IF(COUNTIF(Дела!$A:$A,ROW()-1)&gt;0,VLOOKUP(ROW()-1,Дела!$A:$M,13,0),"")</f>
        <v>17056465.920000002</v>
      </c>
      <c r="G150" s="13">
        <f>IF(COUNTIF(Дела!$A:$A,ROW()-1)&gt;0,VLOOKUP(ROW()-1,Дела!$A:$N,14,0),"")</f>
        <v>45344</v>
      </c>
      <c r="H150" s="11">
        <f>IF(COUNTIF(Дела!$A:$A,ROW()-1)&gt;0,VLOOKUP(ROW()-1,Дела!$A:$K,11,0),"")</f>
        <v>0</v>
      </c>
    </row>
    <row r="151" spans="1:8" ht="409.5" x14ac:dyDescent="0.25">
      <c r="A151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51" s="11" t="str">
        <f>IF(COUNTIF(Дела!$A:$A,ROW()-1)&gt;0,VLOOKUP(ROW()-1,Дела!$A:$F,6,0),"")</f>
        <v>А40-35195/2024</v>
      </c>
      <c r="C151" s="11" t="str">
        <f>IF(COUNTIF(Дела!$A:$A,ROW()-1)&gt;0,VLOOKUP(ROW()-1,Дела!$A:$G,7,0),"")</f>
        <v>АО "РН-Транс"</v>
      </c>
      <c r="D151" s="11" t="str">
        <f>IF(COUNTIF(Дела!$A:$A,ROW()-1)&gt;0,VLOOKUP(ROW()-1,Дела!$A:$I,9,0),"")</f>
        <v>ОАО "РЖД"</v>
      </c>
      <c r="E151" s="11" t="str">
        <f t="shared" si="2"/>
        <v>Олег Валентинович</v>
      </c>
      <c r="F151" s="12">
        <f>IF(COUNTIF(Дела!$A:$A,ROW()-1)&gt;0,VLOOKUP(ROW()-1,Дела!$A:$M,13,0),"")</f>
        <v>11497716</v>
      </c>
      <c r="G151" s="13">
        <f>IF(COUNTIF(Дела!$A:$A,ROW()-1)&gt;0,VLOOKUP(ROW()-1,Дела!$A:$N,14,0),"")</f>
        <v>45343</v>
      </c>
      <c r="H151" s="11" t="str">
        <f>IF(COUNTIF(Дела!$A:$A,ROW()-1)&gt;0,VLOOKUP(ROW()-1,Дела!$A:$K,11,0),"")</f>
        <v>Белозёров Олег Валентинович</v>
      </c>
    </row>
    <row r="152" spans="1:8" ht="409.5" x14ac:dyDescent="0.25">
      <c r="A152" s="11" t="str">
        <f>IF(COUNTIF(Дела!$A:$A,ROW()-1)&gt;0,VLOOKUP(ROW()-1,Дела!$A:$C,3,0),"")</f>
        <v>+7 (968) 426-08-60_x000D_
+7 (49637) 3-30-33, доб 3_x000D_
+7 (49637) 3-35-25_x000D_
+7 (49637) 3-44-63_x000D_
+7 (49637) 3-46-17_x000D_
+7 (49637) 3-47-07_x000D_
+7 (49637) 3-35-05_x000D_
+7 (49637) 3-38-33_x000D_
+7 (49637) 3-48-02_x000D_
+7 (49637) 3-32-59_x000D_
+7 (49637) 3-35-57_x000D_
+7 (906) 714-37-00_x000D_
+7 (906) 749-30-31_x000D_
+7 (49637) 3-47-92_x000D_
+7 (49637) 3-30-33</v>
      </c>
      <c r="B152" s="11" t="str">
        <f>IF(COUNTIF(Дела!$A:$A,ROW()-1)&gt;0,VLOOKUP(ROW()-1,Дела!$A:$F,6,0),"")</f>
        <v>А41-14716/2024</v>
      </c>
      <c r="C152" s="11" t="str">
        <f>IF(COUNTIF(Дела!$A:$A,ROW()-1)&gt;0,VLOOKUP(ROW()-1,Дела!$A:$G,7,0),"")</f>
        <v>ООО "Арника"</v>
      </c>
      <c r="D152" s="11" t="str">
        <f>IF(COUNTIF(Дела!$A:$A,ROW()-1)&gt;0,VLOOKUP(ROW()-1,Дела!$A:$I,9,0),"")</f>
        <v>Администрация городского округа Шаховская</v>
      </c>
      <c r="E152" s="11" t="str">
        <f t="shared" si="2"/>
        <v>Замир Агарзаевич</v>
      </c>
      <c r="F152" s="12">
        <f>IF(COUNTIF(Дела!$A:$A,ROW()-1)&gt;0,VLOOKUP(ROW()-1,Дела!$A:$M,13,0),"")</f>
        <v>4492354.28</v>
      </c>
      <c r="G152" s="13">
        <f>IF(COUNTIF(Дела!$A:$A,ROW()-1)&gt;0,VLOOKUP(ROW()-1,Дела!$A:$N,14,0),"")</f>
        <v>45344</v>
      </c>
      <c r="H152" s="11" t="str">
        <f>IF(COUNTIF(Дела!$A:$A,ROW()-1)&gt;0,VLOOKUP(ROW()-1,Дела!$A:$K,11,0),"")</f>
        <v>Гаджиев Замир Агарзаевич</v>
      </c>
    </row>
    <row r="153" spans="1:8" ht="30" x14ac:dyDescent="0.25">
      <c r="A153" s="11">
        <f>IF(COUNTIF(Дела!$A:$A,ROW()-1)&gt;0,VLOOKUP(ROW()-1,Дела!$A:$C,3,0),"")</f>
        <v>0</v>
      </c>
      <c r="B153" s="11" t="str">
        <f>IF(COUNTIF(Дела!$A:$A,ROW()-1)&gt;0,VLOOKUP(ROW()-1,Дела!$A:$F,6,0),"")</f>
        <v>А40-35260/2024</v>
      </c>
      <c r="C153" s="11">
        <f>IF(COUNTIF(Дела!$A:$A,ROW()-1)&gt;0,VLOOKUP(ROW()-1,Дела!$A:$G,7,0),"")</f>
        <v>0</v>
      </c>
      <c r="D153" s="11" t="str">
        <f>IF(COUNTIF(Дела!$A:$A,ROW()-1)&gt;0,VLOOKUP(ROW()-1,Дела!$A:$I,9,0),"")</f>
        <v>ИП Кушко Виктория Владимировна</v>
      </c>
      <c r="E153" s="11" t="str">
        <f t="shared" si="2"/>
        <v>Виктория Владимировна</v>
      </c>
      <c r="F153" s="12">
        <f>IF(COUNTIF(Дела!$A:$A,ROW()-1)&gt;0,VLOOKUP(ROW()-1,Дела!$A:$M,13,0),"")</f>
        <v>4029880</v>
      </c>
      <c r="G153" s="13">
        <f>IF(COUNTIF(Дела!$A:$A,ROW()-1)&gt;0,VLOOKUP(ROW()-1,Дела!$A:$N,14,0),"")</f>
        <v>45343</v>
      </c>
      <c r="H153" s="11" t="str">
        <f>IF(COUNTIF(Дела!$A:$A,ROW()-1)&gt;0,VLOOKUP(ROW()-1,Дела!$A:$K,11,0),"")</f>
        <v>Кушко Виктория Владимировна</v>
      </c>
    </row>
    <row r="154" spans="1:8" ht="30" x14ac:dyDescent="0.25">
      <c r="A154" s="11">
        <f>IF(COUNTIF(Дела!$A:$A,ROW()-1)&gt;0,VLOOKUP(ROW()-1,Дела!$A:$C,3,0),"")</f>
        <v>0</v>
      </c>
      <c r="B154" s="11" t="str">
        <f>IF(COUNTIF(Дела!$A:$A,ROW()-1)&gt;0,VLOOKUP(ROW()-1,Дела!$A:$F,6,0),"")</f>
        <v>А40-35260/2024</v>
      </c>
      <c r="C154" s="11">
        <f>IF(COUNTIF(Дела!$A:$A,ROW()-1)&gt;0,VLOOKUP(ROW()-1,Дела!$A:$G,7,0),"")</f>
        <v>0</v>
      </c>
      <c r="D154" s="11" t="str">
        <f>IF(COUNTIF(Дела!$A:$A,ROW()-1)&gt;0,VLOOKUP(ROW()-1,Дела!$A:$I,9,0),"")</f>
        <v>ООО "Партия Закона"</v>
      </c>
      <c r="E154" s="11" t="str">
        <f t="shared" si="2"/>
        <v>Виктория Владимировна</v>
      </c>
      <c r="F154" s="12">
        <f>IF(COUNTIF(Дела!$A:$A,ROW()-1)&gt;0,VLOOKUP(ROW()-1,Дела!$A:$M,13,0),"")</f>
        <v>4029880</v>
      </c>
      <c r="G154" s="13">
        <f>IF(COUNTIF(Дела!$A:$A,ROW()-1)&gt;0,VLOOKUP(ROW()-1,Дела!$A:$N,14,0),"")</f>
        <v>45343</v>
      </c>
      <c r="H154" s="11" t="str">
        <f>IF(COUNTIF(Дела!$A:$A,ROW()-1)&gt;0,VLOOKUP(ROW()-1,Дела!$A:$K,11,0),"")</f>
        <v>Кушко Виктория Владимировна</v>
      </c>
    </row>
    <row r="155" spans="1:8" ht="30" x14ac:dyDescent="0.25">
      <c r="A155" s="11">
        <f>IF(COUNTIF(Дела!$A:$A,ROW()-1)&gt;0,VLOOKUP(ROW()-1,Дела!$A:$C,3,0),"")</f>
        <v>0</v>
      </c>
      <c r="B155" s="11" t="str">
        <f>IF(COUNTIF(Дела!$A:$A,ROW()-1)&gt;0,VLOOKUP(ROW()-1,Дела!$A:$F,6,0),"")</f>
        <v>А41-14717/2024</v>
      </c>
      <c r="C155" s="11" t="str">
        <f>IF(COUNTIF(Дела!$A:$A,ROW()-1)&gt;0,VLOOKUP(ROW()-1,Дела!$A:$G,7,0),"")</f>
        <v>ФГУП "Охрана" Росгвардии</v>
      </c>
      <c r="D155" s="11">
        <f>IF(COUNTIF(Дела!$A:$A,ROW()-1)&gt;0,VLOOKUP(ROW()-1,Дела!$A:$I,9,0),"")</f>
        <v>0</v>
      </c>
      <c r="E155" s="11" t="e">
        <f t="shared" si="2"/>
        <v>#VALUE!</v>
      </c>
      <c r="F155" s="12">
        <f>IF(COUNTIF(Дела!$A:$A,ROW()-1)&gt;0,VLOOKUP(ROW()-1,Дела!$A:$M,13,0),"")</f>
        <v>20736819.359999999</v>
      </c>
      <c r="G155" s="13">
        <f>IF(COUNTIF(Дела!$A:$A,ROW()-1)&gt;0,VLOOKUP(ROW()-1,Дела!$A:$N,14,0),"")</f>
        <v>45344</v>
      </c>
      <c r="H155" s="11">
        <f>IF(COUNTIF(Дела!$A:$A,ROW()-1)&gt;0,VLOOKUP(ROW()-1,Дела!$A:$K,11,0),"")</f>
        <v>0</v>
      </c>
    </row>
    <row r="156" spans="1:8" ht="409.5" x14ac:dyDescent="0.25">
      <c r="A156" s="11" t="str">
        <f>IF(COUNTIF(Дела!$A:$A,ROW()-1)&gt;0,VLOOKUP(ROW()-1,Дела!$A:$C,3,0),"")</f>
        <v>+7 (495) 632-58-02_x000D_
+7 (495) 632-58-03_x000D_
+7 (495) 632-58-19_x000D_
+7 (495) 632-58-07_x000D_
+7 (495) 362-21-06_x000D_
+7 (495) 495-63-25, доб 84_x000D_
+7 (495) 623-58-48_x000D_
+7 (495) 632-52-58_x000D_
+7 (495) 632-58-25_x000D_
+7 (495) 632-58-48_x000D_
+7 (495) 632-59-48_x000D_
+7 (495) 951-74-24_x000D_
+7 (495) 957-99-31_x000D_
+7 (499) 632-58-28_x000D_
+7 (495) 632-58-28_x000D_
+7 (499) 632-58-48_x000D_
+7 (499) 632-58-02_x000D_
+7(495)6325802_x000D_
+7(495)6325807_x000D_
+7 (495) 957-99-77_x000D_
+7 (495) 632-50-01_x000D_
+7 (495) 632-58-08, доб 415_x000D_
+7 (495) 361-48-67_x000D_
+7 (495) 632-58-48, доб 5819_x000D_
+7 (495) 632-58-32_x000D_
+7 (495) 362-19-01_x000D_
+7 (863) 252-58-19_x000D_
+7 (863) 258-28-63_x000D_
+7 (495) 361-21-79_x000D_
+7 (495) 670-98-06_x000D_
+7 (495) 632-58-59_x000D_
+7 (495) 632-58-28, доб 8495</v>
      </c>
      <c r="B156" s="11" t="str">
        <f>IF(COUNTIF(Дела!$A:$A,ROW()-1)&gt;0,VLOOKUP(ROW()-1,Дела!$A:$F,6,0),"")</f>
        <v>А40-35118/2024</v>
      </c>
      <c r="C156" s="11" t="str">
        <f>IF(COUNTIF(Дела!$A:$A,ROW()-1)&gt;0,VLOOKUP(ROW()-1,Дела!$A:$G,7,0),"")</f>
        <v>ООО "Резолют"</v>
      </c>
      <c r="D156" s="11" t="str">
        <f>IF(COUNTIF(Дела!$A:$A,ROW()-1)&gt;0,VLOOKUP(ROW()-1,Дела!$A:$I,9,0),"")</f>
        <v>ГБУ "Гормост"</v>
      </c>
      <c r="E156" s="11" t="str">
        <f t="shared" si="2"/>
        <v>Юрий Анатольевич</v>
      </c>
      <c r="F156" s="12">
        <f>IF(COUNTIF(Дела!$A:$A,ROW()-1)&gt;0,VLOOKUP(ROW()-1,Дела!$A:$M,13,0),"")</f>
        <v>2176843.2000000002</v>
      </c>
      <c r="G156" s="13">
        <f>IF(COUNTIF(Дела!$A:$A,ROW()-1)&gt;0,VLOOKUP(ROW()-1,Дела!$A:$N,14,0),"")</f>
        <v>45343</v>
      </c>
      <c r="H156" s="11" t="str">
        <f>IF(COUNTIF(Дела!$A:$A,ROW()-1)&gt;0,VLOOKUP(ROW()-1,Дела!$A:$K,11,0),"")</f>
        <v>Иванков Юрий Анатольевич</v>
      </c>
    </row>
    <row r="157" spans="1:8" ht="45" x14ac:dyDescent="0.25">
      <c r="A157" s="11">
        <f>IF(COUNTIF(Дела!$A:$A,ROW()-1)&gt;0,VLOOKUP(ROW()-1,Дела!$A:$C,3,0),"")</f>
        <v>0</v>
      </c>
      <c r="B157" s="11" t="str">
        <f>IF(COUNTIF(Дела!$A:$A,ROW()-1)&gt;0,VLOOKUP(ROW()-1,Дела!$A:$F,6,0),"")</f>
        <v>А40-35100/2024</v>
      </c>
      <c r="C157" s="11" t="str">
        <f>IF(COUNTIF(Дела!$A:$A,ROW()-1)&gt;0,VLOOKUP(ROW()-1,Дела!$A:$G,7,0),"")</f>
        <v>АО "Метротрансстрой"</v>
      </c>
      <c r="D157" s="11" t="str">
        <f>IF(COUNTIF(Дела!$A:$A,ROW()-1)&gt;0,VLOOKUP(ROW()-1,Дела!$A:$I,9,0),"")</f>
        <v>ООО "Комплектсервис"</v>
      </c>
      <c r="E157" s="11" t="str">
        <f t="shared" si="2"/>
        <v>Владимир Алексеевич</v>
      </c>
      <c r="F157" s="12">
        <f>IF(COUNTIF(Дела!$A:$A,ROW()-1)&gt;0,VLOOKUP(ROW()-1,Дела!$A:$M,13,0),"")</f>
        <v>53678211.859999999</v>
      </c>
      <c r="G157" s="13">
        <f>IF(COUNTIF(Дела!$A:$A,ROW()-1)&gt;0,VLOOKUP(ROW()-1,Дела!$A:$N,14,0),"")</f>
        <v>45343</v>
      </c>
      <c r="H157" s="11" t="str">
        <f>IF(COUNTIF(Дела!$A:$A,ROW()-1)&gt;0,VLOOKUP(ROW()-1,Дела!$A:$K,11,0),"")</f>
        <v>Огибенин Владимир Алексеевич</v>
      </c>
    </row>
    <row r="158" spans="1:8" ht="30" x14ac:dyDescent="0.25">
      <c r="A158" s="11">
        <f>IF(COUNTIF(Дела!$A:$A,ROW()-1)&gt;0,VLOOKUP(ROW()-1,Дела!$A:$C,3,0),"")</f>
        <v>0</v>
      </c>
      <c r="B158" s="11" t="str">
        <f>IF(COUNTIF(Дела!$A:$A,ROW()-1)&gt;0,VLOOKUP(ROW()-1,Дела!$A:$F,6,0),"")</f>
        <v>А41-14718/2024</v>
      </c>
      <c r="C158" s="11" t="str">
        <f>IF(COUNTIF(Дела!$A:$A,ROW()-1)&gt;0,VLOOKUP(ROW()-1,Дела!$A:$G,7,0),"")</f>
        <v>ПАО Сбербанк</v>
      </c>
      <c r="D158" s="11" t="str">
        <f>IF(COUNTIF(Дела!$A:$A,ROW()-1)&gt;0,VLOOKUP(ROW()-1,Дела!$A:$I,9,0),"")</f>
        <v>ИП Бабаев Юханнан Альбертович</v>
      </c>
      <c r="E158" s="11" t="str">
        <f t="shared" si="2"/>
        <v>Юханнан Альбертович</v>
      </c>
      <c r="F158" s="12">
        <f>IF(COUNTIF(Дела!$A:$A,ROW()-1)&gt;0,VLOOKUP(ROW()-1,Дела!$A:$M,13,0),"")</f>
        <v>626357.75</v>
      </c>
      <c r="G158" s="13">
        <f>IF(COUNTIF(Дела!$A:$A,ROW()-1)&gt;0,VLOOKUP(ROW()-1,Дела!$A:$N,14,0),"")</f>
        <v>45344</v>
      </c>
      <c r="H158" s="11" t="str">
        <f>IF(COUNTIF(Дела!$A:$A,ROW()-1)&gt;0,VLOOKUP(ROW()-1,Дела!$A:$K,11,0),"")</f>
        <v>Бабаев Юханнан Альбертович</v>
      </c>
    </row>
    <row r="159" spans="1:8" ht="30" x14ac:dyDescent="0.25">
      <c r="A159" s="11">
        <f>IF(COUNTIF(Дела!$A:$A,ROW()-1)&gt;0,VLOOKUP(ROW()-1,Дела!$A:$C,3,0),"")</f>
        <v>0</v>
      </c>
      <c r="B159" s="11" t="str">
        <f>IF(COUNTIF(Дела!$A:$A,ROW()-1)&gt;0,VLOOKUP(ROW()-1,Дела!$A:$F,6,0),"")</f>
        <v>А40-36937/2024</v>
      </c>
      <c r="C159" s="11" t="str">
        <f>IF(COUNTIF(Дела!$A:$A,ROW()-1)&gt;0,VLOOKUP(ROW()-1,Дела!$A:$G,7,0),"")</f>
        <v>ООО "Опалубка Сеть"</v>
      </c>
      <c r="D159" s="11" t="str">
        <f>IF(COUNTIF(Дела!$A:$A,ROW()-1)&gt;0,VLOOKUP(ROW()-1,Дела!$A:$I,9,0),"")</f>
        <v>ИП Антипова Марина Андреевна</v>
      </c>
      <c r="E159" s="11" t="str">
        <f t="shared" si="2"/>
        <v>Марина Андреевна</v>
      </c>
      <c r="F159" s="12">
        <f>IF(COUNTIF(Дела!$A:$A,ROW()-1)&gt;0,VLOOKUP(ROW()-1,Дела!$A:$M,13,0),"")</f>
        <v>4480068.58</v>
      </c>
      <c r="G159" s="13">
        <f>IF(COUNTIF(Дела!$A:$A,ROW()-1)&gt;0,VLOOKUP(ROW()-1,Дела!$A:$N,14,0),"")</f>
        <v>45344</v>
      </c>
      <c r="H159" s="11" t="str">
        <f>IF(COUNTIF(Дела!$A:$A,ROW()-1)&gt;0,VLOOKUP(ROW()-1,Дела!$A:$K,11,0),"")</f>
        <v>Антипова Марина Андреевна</v>
      </c>
    </row>
    <row r="160" spans="1:8" ht="90" x14ac:dyDescent="0.25">
      <c r="A160" s="11" t="str">
        <f>IF(COUNTIF(Дела!$A:$A,ROW()-1)&gt;0,VLOOKUP(ROW()-1,Дела!$A:$C,3,0),"")</f>
        <v>+7 (499) 702-33-38_x000D_
+7 (495) 475-92-86_x000D_
+7 (499) 702-33-38, доб 100</v>
      </c>
      <c r="B160" s="11" t="str">
        <f>IF(COUNTIF(Дела!$A:$A,ROW()-1)&gt;0,VLOOKUP(ROW()-1,Дела!$A:$F,6,0),"")</f>
        <v>А40-36946/2024</v>
      </c>
      <c r="C160" s="11" t="str">
        <f>IF(COUNTIF(Дела!$A:$A,ROW()-1)&gt;0,VLOOKUP(ROW()-1,Дела!$A:$G,7,0),"")</f>
        <v>ООО "Мегаполис"</v>
      </c>
      <c r="D160" s="11" t="str">
        <f>IF(COUNTIF(Дела!$A:$A,ROW()-1)&gt;0,VLOOKUP(ROW()-1,Дела!$A:$I,9,0),"")</f>
        <v>ООО "Альмакоргруп"</v>
      </c>
      <c r="E160" s="11" t="str">
        <f t="shared" si="2"/>
        <v>Сергей Викторович</v>
      </c>
      <c r="F160" s="12">
        <f>IF(COUNTIF(Дела!$A:$A,ROW()-1)&gt;0,VLOOKUP(ROW()-1,Дела!$A:$M,13,0),"")</f>
        <v>899560</v>
      </c>
      <c r="G160" s="13">
        <f>IF(COUNTIF(Дела!$A:$A,ROW()-1)&gt;0,VLOOKUP(ROW()-1,Дела!$A:$N,14,0),"")</f>
        <v>45344</v>
      </c>
      <c r="H160" s="11" t="str">
        <f>IF(COUNTIF(Дела!$A:$A,ROW()-1)&gt;0,VLOOKUP(ROW()-1,Дела!$A:$K,11,0),"")</f>
        <v>Вершинин Сергей Викторович</v>
      </c>
    </row>
    <row r="161" spans="1:8" ht="30" x14ac:dyDescent="0.25">
      <c r="A161" s="11">
        <f>IF(COUNTIF(Дела!$A:$A,ROW()-1)&gt;0,VLOOKUP(ROW()-1,Дела!$A:$C,3,0),"")</f>
        <v>0</v>
      </c>
      <c r="B161" s="11" t="str">
        <f>IF(COUNTIF(Дела!$A:$A,ROW()-1)&gt;0,VLOOKUP(ROW()-1,Дела!$A:$F,6,0),"")</f>
        <v>А40-36687/2024</v>
      </c>
      <c r="C161" s="11" t="str">
        <f>IF(COUNTIF(Дела!$A:$A,ROW()-1)&gt;0,VLOOKUP(ROW()-1,Дела!$A:$G,7,0),"")</f>
        <v>АО СЗ "Мосстройснаб"</v>
      </c>
      <c r="D161" s="11" t="str">
        <f>IF(COUNTIF(Дела!$A:$A,ROW()-1)&gt;0,VLOOKUP(ROW()-1,Дела!$A:$I,9,0),"")</f>
        <v>ООО "Экострой"</v>
      </c>
      <c r="E161" s="11" t="str">
        <f t="shared" si="2"/>
        <v>Алибек</v>
      </c>
      <c r="F161" s="12">
        <f>IF(COUNTIF(Дела!$A:$A,ROW()-1)&gt;0,VLOOKUP(ROW()-1,Дела!$A:$M,13,0),"")</f>
        <v>730016</v>
      </c>
      <c r="G161" s="13">
        <f>IF(COUNTIF(Дела!$A:$A,ROW()-1)&gt;0,VLOOKUP(ROW()-1,Дела!$A:$N,14,0),"")</f>
        <v>45344</v>
      </c>
      <c r="H161" s="11" t="str">
        <f>IF(COUNTIF(Дела!$A:$A,ROW()-1)&gt;0,VLOOKUP(ROW()-1,Дела!$A:$K,11,0),"")</f>
        <v>Ароупов Алибек</v>
      </c>
    </row>
    <row r="162" spans="1:8" ht="30" x14ac:dyDescent="0.25">
      <c r="A162" s="11">
        <f>IF(COUNTIF(Дела!$A:$A,ROW()-1)&gt;0,VLOOKUP(ROW()-1,Дела!$A:$C,3,0),"")</f>
        <v>0</v>
      </c>
      <c r="B162" s="11" t="str">
        <f>IF(COUNTIF(Дела!$A:$A,ROW()-1)&gt;0,VLOOKUP(ROW()-1,Дела!$A:$F,6,0),"")</f>
        <v>А41-14741/2024</v>
      </c>
      <c r="C162" s="11" t="str">
        <f>IF(COUNTIF(Дела!$A:$A,ROW()-1)&gt;0,VLOOKUP(ROW()-1,Дела!$A:$G,7,0),"")</f>
        <v>ООО "ПСК Стройнеруд"</v>
      </c>
      <c r="D162" s="11" t="str">
        <f>IF(COUNTIF(Дела!$A:$A,ROW()-1)&gt;0,VLOOKUP(ROW()-1,Дела!$A:$I,9,0),"")</f>
        <v>ООО "ТМ"</v>
      </c>
      <c r="E162" s="11" t="str">
        <f t="shared" si="2"/>
        <v>Алексей Владимирович</v>
      </c>
      <c r="F162" s="12">
        <f>IF(COUNTIF(Дела!$A:$A,ROW()-1)&gt;0,VLOOKUP(ROW()-1,Дела!$A:$M,13,0),"")</f>
        <v>872354.33</v>
      </c>
      <c r="G162" s="13">
        <f>IF(COUNTIF(Дела!$A:$A,ROW()-1)&gt;0,VLOOKUP(ROW()-1,Дела!$A:$N,14,0),"")</f>
        <v>45344</v>
      </c>
      <c r="H162" s="11" t="str">
        <f>IF(COUNTIF(Дела!$A:$A,ROW()-1)&gt;0,VLOOKUP(ROW()-1,Дела!$A:$K,11,0),"")</f>
        <v>Филиппов Алексей Владимирович</v>
      </c>
    </row>
    <row r="163" spans="1:8" ht="30" x14ac:dyDescent="0.25">
      <c r="A163" s="11">
        <f>IF(COUNTIF(Дела!$A:$A,ROW()-1)&gt;0,VLOOKUP(ROW()-1,Дела!$A:$C,3,0),"")</f>
        <v>0</v>
      </c>
      <c r="B163" s="11" t="str">
        <f>IF(COUNTIF(Дела!$A:$A,ROW()-1)&gt;0,VLOOKUP(ROW()-1,Дела!$A:$F,6,0),"")</f>
        <v>А40-36562/2024</v>
      </c>
      <c r="C163" s="11" t="str">
        <f>IF(COUNTIF(Дела!$A:$A,ROW()-1)&gt;0,VLOOKUP(ROW()-1,Дела!$A:$G,7,0),"")</f>
        <v>ООО "Евроасфальт"</v>
      </c>
      <c r="D163" s="11" t="str">
        <f>IF(COUNTIF(Дела!$A:$A,ROW()-1)&gt;0,VLOOKUP(ROW()-1,Дела!$A:$I,9,0),"")</f>
        <v>ООО "СК Альфа"</v>
      </c>
      <c r="E163" s="11" t="str">
        <f t="shared" si="2"/>
        <v>Амрах Сахрад Оглы</v>
      </c>
      <c r="F163" s="12">
        <f>IF(COUNTIF(Дела!$A:$A,ROW()-1)&gt;0,VLOOKUP(ROW()-1,Дела!$A:$M,13,0),"")</f>
        <v>778012</v>
      </c>
      <c r="G163" s="13">
        <f>IF(COUNTIF(Дела!$A:$A,ROW()-1)&gt;0,VLOOKUP(ROW()-1,Дела!$A:$N,14,0),"")</f>
        <v>45344</v>
      </c>
      <c r="H163" s="11" t="str">
        <f>IF(COUNTIF(Дела!$A:$A,ROW()-1)&gt;0,VLOOKUP(ROW()-1,Дела!$A:$K,11,0),"")</f>
        <v>Амирасланов Амрах Сахрад Оглы</v>
      </c>
    </row>
    <row r="164" spans="1:8" ht="60" x14ac:dyDescent="0.25">
      <c r="A164" s="11" t="str">
        <f>IF(COUNTIF(Дела!$A:$A,ROW()-1)&gt;0,VLOOKUP(ROW()-1,Дела!$A:$C,3,0),"")</f>
        <v>+7 (495) 665-73-95_x000D_
+7 (495) 746-21-00</v>
      </c>
      <c r="B164" s="11" t="str">
        <f>IF(COUNTIF(Дела!$A:$A,ROW()-1)&gt;0,VLOOKUP(ROW()-1,Дела!$A:$F,6,0),"")</f>
        <v>А40-36511/2024</v>
      </c>
      <c r="C164" s="11" t="str">
        <f>IF(COUNTIF(Дела!$A:$A,ROW()-1)&gt;0,VLOOKUP(ROW()-1,Дела!$A:$G,7,0),"")</f>
        <v>ООО "ЭТК № 2"</v>
      </c>
      <c r="D164" s="11" t="str">
        <f>IF(COUNTIF(Дела!$A:$A,ROW()-1)&gt;0,VLOOKUP(ROW()-1,Дела!$A:$I,9,0),"")</f>
        <v>ООО "ДУ МКД"</v>
      </c>
      <c r="E164" s="11" t="str">
        <f t="shared" si="2"/>
        <v>Вадим Викторович</v>
      </c>
      <c r="F164" s="12">
        <f>IF(COUNTIF(Дела!$A:$A,ROW()-1)&gt;0,VLOOKUP(ROW()-1,Дела!$A:$M,13,0),"")</f>
        <v>18136924.73</v>
      </c>
      <c r="G164" s="13">
        <f>IF(COUNTIF(Дела!$A:$A,ROW()-1)&gt;0,VLOOKUP(ROW()-1,Дела!$A:$N,14,0),"")</f>
        <v>45344</v>
      </c>
      <c r="H164" s="11" t="str">
        <f>IF(COUNTIF(Дела!$A:$A,ROW()-1)&gt;0,VLOOKUP(ROW()-1,Дела!$A:$K,11,0),"")</f>
        <v>Баранов Вадим Викторович</v>
      </c>
    </row>
    <row r="165" spans="1:8" ht="45" x14ac:dyDescent="0.25">
      <c r="A165" s="11">
        <f>IF(COUNTIF(Дела!$A:$A,ROW()-1)&gt;0,VLOOKUP(ROW()-1,Дела!$A:$C,3,0),"")</f>
        <v>0</v>
      </c>
      <c r="B165" s="11" t="str">
        <f>IF(COUNTIF(Дела!$A:$A,ROW()-1)&gt;0,VLOOKUP(ROW()-1,Дела!$A:$F,6,0),"")</f>
        <v>А40-36489/2024</v>
      </c>
      <c r="C165" s="11" t="str">
        <f>IF(COUNTIF(Дела!$A:$A,ROW()-1)&gt;0,VLOOKUP(ROW()-1,Дела!$A:$G,7,0),"")</f>
        <v>ИП Полозов Максим Дмитриевич</v>
      </c>
      <c r="D165" s="11" t="str">
        <f>IF(COUNTIF(Дела!$A:$A,ROW()-1)&gt;0,VLOOKUP(ROW()-1,Дела!$A:$I,9,0),"")</f>
        <v>ООО "Интелмакс"</v>
      </c>
      <c r="E165" s="11" t="str">
        <f t="shared" si="2"/>
        <v>Елизавета Михайловна</v>
      </c>
      <c r="F165" s="12">
        <f>IF(COUNTIF(Дела!$A:$A,ROW()-1)&gt;0,VLOOKUP(ROW()-1,Дела!$A:$M,13,0),"")</f>
        <v>753857</v>
      </c>
      <c r="G165" s="13">
        <f>IF(COUNTIF(Дела!$A:$A,ROW()-1)&gt;0,VLOOKUP(ROW()-1,Дела!$A:$N,14,0),"")</f>
        <v>45344</v>
      </c>
      <c r="H165" s="11" t="str">
        <f>IF(COUNTIF(Дела!$A:$A,ROW()-1)&gt;0,VLOOKUP(ROW()-1,Дела!$A:$K,11,0),"")</f>
        <v>Акимова Елизавета Михайловна</v>
      </c>
    </row>
    <row r="166" spans="1:8" ht="60" x14ac:dyDescent="0.25">
      <c r="A166" s="11" t="str">
        <f>IF(COUNTIF(Дела!$A:$A,ROW()-1)&gt;0,VLOOKUP(ROW()-1,Дела!$A:$C,3,0),"")</f>
        <v>+7 (904) 890-90-52_x000D_
+7 (3912) 22-06-94</v>
      </c>
      <c r="B166" s="11" t="str">
        <f>IF(COUNTIF(Дела!$A:$A,ROW()-1)&gt;0,VLOOKUP(ROW()-1,Дела!$A:$F,6,0),"")</f>
        <v>А40-36481/2024</v>
      </c>
      <c r="C166" s="11" t="str">
        <f>IF(COUNTIF(Дела!$A:$A,ROW()-1)&gt;0,VLOOKUP(ROW()-1,Дела!$A:$G,7,0),"")</f>
        <v>ФГУП "ГВСУ по Специальным Объектам"</v>
      </c>
      <c r="D166" s="11" t="str">
        <f>IF(COUNTIF(Дела!$A:$A,ROW()-1)&gt;0,VLOOKUP(ROW()-1,Дела!$A:$I,9,0),"")</f>
        <v>АО "СПГ"</v>
      </c>
      <c r="E166" s="11" t="str">
        <f t="shared" si="2"/>
        <v/>
      </c>
      <c r="F166" s="12">
        <f>IF(COUNTIF(Дела!$A:$A,ROW()-1)&gt;0,VLOOKUP(ROW()-1,Дела!$A:$M,13,0),"")</f>
        <v>5861908766.6999998</v>
      </c>
      <c r="G166" s="13">
        <f>IF(COUNTIF(Дела!$A:$A,ROW()-1)&gt;0,VLOOKUP(ROW()-1,Дела!$A:$N,14,0),"")</f>
        <v>45344</v>
      </c>
      <c r="H166" s="11" t="str">
        <f>IF(COUNTIF(Дела!$A:$A,ROW()-1)&gt;0,VLOOKUP(ROW()-1,Дела!$A:$K,11,0),"")</f>
        <v/>
      </c>
    </row>
    <row r="167" spans="1:8" ht="45" x14ac:dyDescent="0.25">
      <c r="A167" s="11">
        <f>IF(COUNTIF(Дела!$A:$A,ROW()-1)&gt;0,VLOOKUP(ROW()-1,Дела!$A:$C,3,0),"")</f>
        <v>0</v>
      </c>
      <c r="B167" s="11" t="str">
        <f>IF(COUNTIF(Дела!$A:$A,ROW()-1)&gt;0,VLOOKUP(ROW()-1,Дела!$A:$F,6,0),"")</f>
        <v>А40-36489/2024</v>
      </c>
      <c r="C167" s="11" t="str">
        <f>IF(COUNTIF(Дела!$A:$A,ROW()-1)&gt;0,VLOOKUP(ROW()-1,Дела!$A:$G,7,0),"")</f>
        <v>ИП Полозов Максим Дмитриевич</v>
      </c>
      <c r="D167" s="11" t="str">
        <f>IF(COUNTIF(Дела!$A:$A,ROW()-1)&gt;0,VLOOKUP(ROW()-1,Дела!$A:$I,9,0),"")</f>
        <v>ООО "Дельтаком"</v>
      </c>
      <c r="E167" s="11" t="str">
        <f t="shared" si="2"/>
        <v>Татьяна Александровна</v>
      </c>
      <c r="F167" s="12">
        <f>IF(COUNTIF(Дела!$A:$A,ROW()-1)&gt;0,VLOOKUP(ROW()-1,Дела!$A:$M,13,0),"")</f>
        <v>753857</v>
      </c>
      <c r="G167" s="13">
        <f>IF(COUNTIF(Дела!$A:$A,ROW()-1)&gt;0,VLOOKUP(ROW()-1,Дела!$A:$N,14,0),"")</f>
        <v>45344</v>
      </c>
      <c r="H167" s="11" t="str">
        <f>IF(COUNTIF(Дела!$A:$A,ROW()-1)&gt;0,VLOOKUP(ROW()-1,Дела!$A:$K,11,0),"")</f>
        <v>Ткаченко Татьяна Александровна</v>
      </c>
    </row>
    <row r="168" spans="1:8" ht="60" x14ac:dyDescent="0.25">
      <c r="A168" s="11" t="str">
        <f>IF(COUNTIF(Дела!$A:$A,ROW()-1)&gt;0,VLOOKUP(ROW()-1,Дела!$A:$C,3,0),"")</f>
        <v>+7 (968) 604-47-93_x000D_
+7 (495) 662-94-93</v>
      </c>
      <c r="B168" s="11" t="str">
        <f>IF(COUNTIF(Дела!$A:$A,ROW()-1)&gt;0,VLOOKUP(ROW()-1,Дела!$A:$F,6,0),"")</f>
        <v>А40-36419/2024</v>
      </c>
      <c r="C168" s="11" t="str">
        <f>IF(COUNTIF(Дела!$A:$A,ROW()-1)&gt;0,VLOOKUP(ROW()-1,Дела!$A:$G,7,0),"")</f>
        <v>ООО "ПМ Эр3"</v>
      </c>
      <c r="D168" s="11" t="str">
        <f>IF(COUNTIF(Дела!$A:$A,ROW()-1)&gt;0,VLOOKUP(ROW()-1,Дела!$A:$I,9,0),"")</f>
        <v>ООО "Союз Проект"</v>
      </c>
      <c r="E168" s="11" t="str">
        <f t="shared" si="2"/>
        <v>Николай Николаевич</v>
      </c>
      <c r="F168" s="12">
        <f>IF(COUNTIF(Дела!$A:$A,ROW()-1)&gt;0,VLOOKUP(ROW()-1,Дела!$A:$M,13,0),"")</f>
        <v>5837106.0599999996</v>
      </c>
      <c r="G168" s="13">
        <f>IF(COUNTIF(Дела!$A:$A,ROW()-1)&gt;0,VLOOKUP(ROW()-1,Дела!$A:$N,14,0),"")</f>
        <v>45344</v>
      </c>
      <c r="H168" s="11" t="str">
        <f>IF(COUNTIF(Дела!$A:$A,ROW()-1)&gt;0,VLOOKUP(ROW()-1,Дела!$A:$K,11,0),"")</f>
        <v>Демидов Николай Николаевич</v>
      </c>
    </row>
    <row r="169" spans="1:8" ht="409.5" x14ac:dyDescent="0.25">
      <c r="A169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69" s="11" t="str">
        <f>IF(COUNTIF(Дела!$A:$A,ROW()-1)&gt;0,VLOOKUP(ROW()-1,Дела!$A:$F,6,0),"")</f>
        <v>А40-36417/2024</v>
      </c>
      <c r="C169" s="11" t="str">
        <f>IF(COUNTIF(Дела!$A:$A,ROW()-1)&gt;0,VLOOKUP(ROW()-1,Дела!$A:$G,7,0),"")</f>
        <v>ООО "Новоморснаб"</v>
      </c>
      <c r="D169" s="11" t="str">
        <f>IF(COUNTIF(Дела!$A:$A,ROW()-1)&gt;0,VLOOKUP(ROW()-1,Дела!$A:$I,9,0),"")</f>
        <v>ОАО "РЖД"</v>
      </c>
      <c r="E169" s="11" t="str">
        <f t="shared" si="2"/>
        <v>Олег Валентинович</v>
      </c>
      <c r="F169" s="12">
        <f>IF(COUNTIF(Дела!$A:$A,ROW()-1)&gt;0,VLOOKUP(ROW()-1,Дела!$A:$M,13,0),"")</f>
        <v>1024726.32</v>
      </c>
      <c r="G169" s="13">
        <f>IF(COUNTIF(Дела!$A:$A,ROW()-1)&gt;0,VLOOKUP(ROW()-1,Дела!$A:$N,14,0),"")</f>
        <v>45344</v>
      </c>
      <c r="H169" s="11" t="str">
        <f>IF(COUNTIF(Дела!$A:$A,ROW()-1)&gt;0,VLOOKUP(ROW()-1,Дела!$A:$K,11,0),"")</f>
        <v>Белозёров Олег Валентинович</v>
      </c>
    </row>
    <row r="170" spans="1:8" ht="240" x14ac:dyDescent="0.25">
      <c r="A170" s="11" t="str">
        <f>IF(COUNTIF(Дела!$A:$A,ROW()-1)&gt;0,VLOOKUP(ROW()-1,Дела!$A:$C,3,0),"")</f>
        <v>+7 (495) 628-47-48_x000D_
+7 (495) 628-62-45_x000D_
+7 (495) 625-55-49_x000D_
+7 (495) 628-57-93_x000D_
+7 (495) 928-47-48_x000D_
+7 (495) 279-56-38_x000D_
+7 (495) 528-06-54_x000D_
+7 (495) 626-62-45</v>
      </c>
      <c r="B170" s="11" t="str">
        <f>IF(COUNTIF(Дела!$A:$A,ROW()-1)&gt;0,VLOOKUP(ROW()-1,Дела!$A:$F,6,0),"")</f>
        <v>А40-36353/2024</v>
      </c>
      <c r="C170" s="11" t="str">
        <f>IF(COUNTIF(Дела!$A:$A,ROW()-1)&gt;0,VLOOKUP(ROW()-1,Дела!$A:$G,7,0),"")</f>
        <v>ООО "ПДК "Южный"</v>
      </c>
      <c r="D170" s="11" t="str">
        <f>IF(COUNTIF(Дела!$A:$A,ROW()-1)&gt;0,VLOOKUP(ROW()-1,Дела!$A:$I,9,0),"")</f>
        <v>АО "ЦДС"</v>
      </c>
      <c r="E170" s="11" t="str">
        <f t="shared" si="2"/>
        <v>Дмитрий Сергеевич</v>
      </c>
      <c r="F170" s="12">
        <f>IF(COUNTIF(Дела!$A:$A,ROW()-1)&gt;0,VLOOKUP(ROW()-1,Дела!$A:$M,13,0),"")</f>
        <v>1112335.17</v>
      </c>
      <c r="G170" s="13">
        <f>IF(COUNTIF(Дела!$A:$A,ROW()-1)&gt;0,VLOOKUP(ROW()-1,Дела!$A:$N,14,0),"")</f>
        <v>45344</v>
      </c>
      <c r="H170" s="11" t="str">
        <f>IF(COUNTIF(Дела!$A:$A,ROW()-1)&gt;0,VLOOKUP(ROW()-1,Дела!$A:$K,11,0),"")</f>
        <v>Теплинский Дмитрий Сергеевич</v>
      </c>
    </row>
    <row r="171" spans="1:8" ht="90" x14ac:dyDescent="0.25">
      <c r="A171" s="11" t="str">
        <f>IF(COUNTIF(Дела!$A:$A,ROW()-1)&gt;0,VLOOKUP(ROW()-1,Дела!$A:$C,3,0),"")</f>
        <v>+7 (812) 438-20-57_x000D_
+7 (812) 319-38-16_x000D_
+7 (812) 438-20-58</v>
      </c>
      <c r="B171" s="11" t="str">
        <f>IF(COUNTIF(Дела!$A:$A,ROW()-1)&gt;0,VLOOKUP(ROW()-1,Дела!$A:$F,6,0),"")</f>
        <v>А40-36414/2024</v>
      </c>
      <c r="C171" s="11" t="str">
        <f>IF(COUNTIF(Дела!$A:$A,ROW()-1)&gt;0,VLOOKUP(ROW()-1,Дела!$A:$G,7,0),"")</f>
        <v>ООО "Газпромбанк Автолизинг"</v>
      </c>
      <c r="D171" s="11" t="str">
        <f>IF(COUNTIF(Дела!$A:$A,ROW()-1)&gt;0,VLOOKUP(ROW()-1,Дела!$A:$I,9,0),"")</f>
        <v>ООО "Балтстройрент"</v>
      </c>
      <c r="E171" s="11" t="str">
        <f t="shared" si="2"/>
        <v>Гегам Манвелович</v>
      </c>
      <c r="F171" s="12">
        <f>IF(COUNTIF(Дела!$A:$A,ROW()-1)&gt;0,VLOOKUP(ROW()-1,Дела!$A:$M,13,0),"")</f>
        <v>605148.36</v>
      </c>
      <c r="G171" s="13">
        <f>IF(COUNTIF(Дела!$A:$A,ROW()-1)&gt;0,VLOOKUP(ROW()-1,Дела!$A:$N,14,0),"")</f>
        <v>45344</v>
      </c>
      <c r="H171" s="11" t="str">
        <f>IF(COUNTIF(Дела!$A:$A,ROW()-1)&gt;0,VLOOKUP(ROW()-1,Дела!$A:$K,11,0),"")</f>
        <v>Буниатян Гегам Манвелович</v>
      </c>
    </row>
    <row r="172" spans="1:8" ht="45" x14ac:dyDescent="0.25">
      <c r="A172" s="11">
        <f>IF(COUNTIF(Дела!$A:$A,ROW()-1)&gt;0,VLOOKUP(ROW()-1,Дела!$A:$C,3,0),"")</f>
        <v>0</v>
      </c>
      <c r="B172" s="11" t="str">
        <f>IF(COUNTIF(Дела!$A:$A,ROW()-1)&gt;0,VLOOKUP(ROW()-1,Дела!$A:$F,6,0),"")</f>
        <v>А40-36414/2024</v>
      </c>
      <c r="C172" s="11" t="str">
        <f>IF(COUNTIF(Дела!$A:$A,ROW()-1)&gt;0,VLOOKUP(ROW()-1,Дела!$A:$G,7,0),"")</f>
        <v>ООО "Газпромбанк Автолизинг"</v>
      </c>
      <c r="D172" s="11" t="str">
        <f>IF(COUNTIF(Дела!$A:$A,ROW()-1)&gt;0,VLOOKUP(ROW()-1,Дела!$A:$I,9,0),"")</f>
        <v>ООО "Арлестрой"</v>
      </c>
      <c r="E172" s="11" t="str">
        <f t="shared" si="2"/>
        <v>Олеся Апетнаковна</v>
      </c>
      <c r="F172" s="12">
        <f>IF(COUNTIF(Дела!$A:$A,ROW()-1)&gt;0,VLOOKUP(ROW()-1,Дела!$A:$M,13,0),"")</f>
        <v>605148.36</v>
      </c>
      <c r="G172" s="13">
        <f>IF(COUNTIF(Дела!$A:$A,ROW()-1)&gt;0,VLOOKUP(ROW()-1,Дела!$A:$N,14,0),"")</f>
        <v>45344</v>
      </c>
      <c r="H172" s="11" t="str">
        <f>IF(COUNTIF(Дела!$A:$A,ROW()-1)&gt;0,VLOOKUP(ROW()-1,Дела!$A:$K,11,0),"")</f>
        <v>Варданян Олеся Апетнаковна</v>
      </c>
    </row>
    <row r="173" spans="1:8" ht="409.5" x14ac:dyDescent="0.25">
      <c r="A173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73" s="11" t="str">
        <f>IF(COUNTIF(Дела!$A:$A,ROW()-1)&gt;0,VLOOKUP(ROW()-1,Дела!$A:$F,6,0),"")</f>
        <v>А40-36329/2024</v>
      </c>
      <c r="C173" s="11" t="str">
        <f>IF(COUNTIF(Дела!$A:$A,ROW()-1)&gt;0,VLOOKUP(ROW()-1,Дела!$A:$G,7,0),"")</f>
        <v>АО "РН-Транс"</v>
      </c>
      <c r="D173" s="11" t="str">
        <f>IF(COUNTIF(Дела!$A:$A,ROW()-1)&gt;0,VLOOKUP(ROW()-1,Дела!$A:$I,9,0),"")</f>
        <v>ОАО "РЖД"</v>
      </c>
      <c r="E173" s="11" t="str">
        <f t="shared" si="2"/>
        <v>Олег Валентинович</v>
      </c>
      <c r="F173" s="12">
        <f>IF(COUNTIF(Дела!$A:$A,ROW()-1)&gt;0,VLOOKUP(ROW()-1,Дела!$A:$M,13,0),"")</f>
        <v>13039525.859999999</v>
      </c>
      <c r="G173" s="13">
        <f>IF(COUNTIF(Дела!$A:$A,ROW()-1)&gt;0,VLOOKUP(ROW()-1,Дела!$A:$N,14,0),"")</f>
        <v>45344</v>
      </c>
      <c r="H173" s="11" t="str">
        <f>IF(COUNTIF(Дела!$A:$A,ROW()-1)&gt;0,VLOOKUP(ROW()-1,Дела!$A:$K,11,0),"")</f>
        <v>Белозёров Олег Валентинович</v>
      </c>
    </row>
    <row r="174" spans="1:8" ht="409.5" x14ac:dyDescent="0.25">
      <c r="A174" s="11" t="str">
        <f>IF(COUNTIF(Дела!$A:$A,ROW()-1)&gt;0,VLOOKUP(ROW()-1,Дела!$A:$C,3,0),"")</f>
        <v>+7 (495) 669-23-90_x000D_
+7 (495) 669-70-83_x000D_
+7 (498) 553-80-02_x000D_
+7 (495) 669-21-34_x000D_
+7 (3812) 51-72-07_x000D_
+7 (495) 264-55-71_x000D_
+7 (495) 264-90-38_x000D_
+7 (495) 622-32-39_x000D_
+7 (495) 647-31-92_x000D_
+7 (495) 647-32-10_x000D_
+7 (495) 649-33-40_x000D_
+7 (495) 654-65-46_x000D_
+7 (495) 669-21-66_x000D_
+7 (495) 669-70-30_x000D_
+7 (495) 669-70-81_x000D_
+7 (499) 264-47-53_x000D_
+7 (499) 264-90-83_x000D_
+7 (499) 669-70-38_x000D_
+7 (499) 669-70-83_x000D_
+7 (919) 784-42-34_x000D_
+7 (499) 767-07-68_x000D_
+7 (495) 984-54-78_x000D_
+7 (495) 264-90-83_x000D_
+7 (495) 627-55-45_x000D_
+7 (495) 649-23-90_x000D_
+7 (495) 557-90-14_x000D_
+7 (495) 669-70-38_x000D_
+7 (499) 264-47-22_x000D_
+7 (499) 268-23-06_x000D_
+7 (495) 269-92-93_x000D_
+7 (495) 699-23-90_x000D_
+7 (925) 008-91-49_x000D_
+7 (495) 553-02-34_x000D_
+7 (495) 669-23-00_x000D_
+7 (495) 549-66-86_x000D_
+7 (495) 700-31-21_x000D_
+7 (495) 994-46-40_x000D_
+7 (495) 627-52-54_x000D_
+7 (916) 982-28-68_x000D_
+7 (495) 553-80-02_x000D_
+7 (495) 669-70-94_x000D_
+7 (495) 654-74-74</v>
      </c>
      <c r="B174" s="11" t="str">
        <f>IF(COUNTIF(Дела!$A:$A,ROW()-1)&gt;0,VLOOKUP(ROW()-1,Дела!$A:$F,6,0),"")</f>
        <v>А41-15001/2024</v>
      </c>
      <c r="C174" s="11" t="str">
        <f>IF(COUNTIF(Дела!$A:$A,ROW()-1)&gt;0,VLOOKUP(ROW()-1,Дела!$A:$G,7,0),"")</f>
        <v>АО "НИИ "Экран"</v>
      </c>
      <c r="D174" s="11" t="str">
        <f>IF(COUNTIF(Дела!$A:$A,ROW()-1)&gt;0,VLOOKUP(ROW()-1,Дела!$A:$I,9,0),"")</f>
        <v>АО "НЦВ Миль и Камов"</v>
      </c>
      <c r="E174" s="11" t="str">
        <f t="shared" si="2"/>
        <v/>
      </c>
      <c r="F174" s="12">
        <f>IF(COUNTIF(Дела!$A:$A,ROW()-1)&gt;0,VLOOKUP(ROW()-1,Дела!$A:$M,13,0),"")</f>
        <v>20992588.91</v>
      </c>
      <c r="G174" s="13">
        <f>IF(COUNTIF(Дела!$A:$A,ROW()-1)&gt;0,VLOOKUP(ROW()-1,Дела!$A:$N,14,0),"")</f>
        <v>45344</v>
      </c>
      <c r="H174" s="11" t="str">
        <f>IF(COUNTIF(Дела!$A:$A,ROW()-1)&gt;0,VLOOKUP(ROW()-1,Дела!$A:$K,11,0),"")</f>
        <v/>
      </c>
    </row>
    <row r="175" spans="1:8" ht="45" x14ac:dyDescent="0.25">
      <c r="A175" s="11">
        <f>IF(COUNTIF(Дела!$A:$A,ROW()-1)&gt;0,VLOOKUP(ROW()-1,Дела!$A:$C,3,0),"")</f>
        <v>0</v>
      </c>
      <c r="B175" s="11" t="str">
        <f>IF(COUNTIF(Дела!$A:$A,ROW()-1)&gt;0,VLOOKUP(ROW()-1,Дела!$A:$F,6,0),"")</f>
        <v>А41-14956/2024</v>
      </c>
      <c r="C175" s="11" t="str">
        <f>IF(COUNTIF(Дела!$A:$A,ROW()-1)&gt;0,VLOOKUP(ROW()-1,Дела!$A:$G,7,0),"")</f>
        <v>ИП Колесников Александр Владимирович</v>
      </c>
      <c r="D175" s="11" t="str">
        <f>IF(COUNTIF(Дела!$A:$A,ROW()-1)&gt;0,VLOOKUP(ROW()-1,Дела!$A:$I,9,0),"")</f>
        <v>ИП Черепухин Данил Александрович</v>
      </c>
      <c r="E175" s="11" t="str">
        <f t="shared" si="2"/>
        <v>Данил Александрович</v>
      </c>
      <c r="F175" s="12">
        <f>IF(COUNTIF(Дела!$A:$A,ROW()-1)&gt;0,VLOOKUP(ROW()-1,Дела!$A:$M,13,0),"")</f>
        <v>963626</v>
      </c>
      <c r="G175" s="13">
        <f>IF(COUNTIF(Дела!$A:$A,ROW()-1)&gt;0,VLOOKUP(ROW()-1,Дела!$A:$N,14,0),"")</f>
        <v>45344</v>
      </c>
      <c r="H175" s="11" t="str">
        <f>IF(COUNTIF(Дела!$A:$A,ROW()-1)&gt;0,VLOOKUP(ROW()-1,Дела!$A:$K,11,0),"")</f>
        <v>Черепухин Данил Александрович</v>
      </c>
    </row>
    <row r="176" spans="1:8" ht="60" x14ac:dyDescent="0.25">
      <c r="A176" s="11">
        <f>IF(COUNTIF(Дела!$A:$A,ROW()-1)&gt;0,VLOOKUP(ROW()-1,Дела!$A:$C,3,0),"")</f>
        <v>0</v>
      </c>
      <c r="B176" s="11" t="str">
        <f>IF(COUNTIF(Дела!$A:$A,ROW()-1)&gt;0,VLOOKUP(ROW()-1,Дела!$A:$F,6,0),"")</f>
        <v>А41-14950/2024</v>
      </c>
      <c r="C176" s="11" t="str">
        <f>IF(COUNTIF(Дела!$A:$A,ROW()-1)&gt;0,VLOOKUP(ROW()-1,Дела!$A:$G,7,0),"")</f>
        <v>Департамент городского Имущества Города Москвы</v>
      </c>
      <c r="D176" s="11" t="str">
        <f>IF(COUNTIF(Дела!$A:$A,ROW()-1)&gt;0,VLOOKUP(ROW()-1,Дела!$A:$I,9,0),"")</f>
        <v>ИП Рубцов Станислав Владимирович</v>
      </c>
      <c r="E176" s="11" t="str">
        <f t="shared" si="2"/>
        <v>Станислав Владимирович</v>
      </c>
      <c r="F176" s="12">
        <f>IF(COUNTIF(Дела!$A:$A,ROW()-1)&gt;0,VLOOKUP(ROW()-1,Дела!$A:$M,13,0),"")</f>
        <v>1014985.66</v>
      </c>
      <c r="G176" s="13">
        <f>IF(COUNTIF(Дела!$A:$A,ROW()-1)&gt;0,VLOOKUP(ROW()-1,Дела!$A:$N,14,0),"")</f>
        <v>45344</v>
      </c>
      <c r="H176" s="11" t="str">
        <f>IF(COUNTIF(Дела!$A:$A,ROW()-1)&gt;0,VLOOKUP(ROW()-1,Дела!$A:$K,11,0),"")</f>
        <v>Рубцов Станислав Владимирович</v>
      </c>
    </row>
    <row r="177" spans="1:8" ht="60" x14ac:dyDescent="0.25">
      <c r="A177" s="11" t="str">
        <f>IF(COUNTIF(Дела!$A:$A,ROW()-1)&gt;0,VLOOKUP(ROW()-1,Дела!$A:$C,3,0),"")</f>
        <v>+7 (49657) 3-10-06_x000D_
+7 (49657) 3-55-36</v>
      </c>
      <c r="B177" s="11" t="str">
        <f>IF(COUNTIF(Дела!$A:$A,ROW()-1)&gt;0,VLOOKUP(ROW()-1,Дела!$A:$F,6,0),"")</f>
        <v>А41-14882/2024</v>
      </c>
      <c r="C177" s="11" t="str">
        <f>IF(COUNTIF(Дела!$A:$A,ROW()-1)&gt;0,VLOOKUP(ROW()-1,Дела!$A:$G,7,0),"")</f>
        <v>АО "Мосэнергосбыт"</v>
      </c>
      <c r="D177" s="11" t="str">
        <f>IF(COUNTIF(Дела!$A:$A,ROW()-1)&gt;0,VLOOKUP(ROW()-1,Дела!$A:$I,9,0),"")</f>
        <v>МУП "ЭЦУ"</v>
      </c>
      <c r="E177" s="11" t="str">
        <f t="shared" si="2"/>
        <v>Олег Юрьевич</v>
      </c>
      <c r="F177" s="12">
        <f>IF(COUNTIF(Дела!$A:$A,ROW()-1)&gt;0,VLOOKUP(ROW()-1,Дела!$A:$M,13,0),"")</f>
        <v>1041088.68</v>
      </c>
      <c r="G177" s="13">
        <f>IF(COUNTIF(Дела!$A:$A,ROW()-1)&gt;0,VLOOKUP(ROW()-1,Дела!$A:$N,14,0),"")</f>
        <v>45344</v>
      </c>
      <c r="H177" s="11" t="str">
        <f>IF(COUNTIF(Дела!$A:$A,ROW()-1)&gt;0,VLOOKUP(ROW()-1,Дела!$A:$K,11,0),"")</f>
        <v>Жулябин Олег Юрьевич</v>
      </c>
    </row>
    <row r="178" spans="1:8" ht="120" x14ac:dyDescent="0.25">
      <c r="A178" s="11" t="str">
        <f>IF(COUNTIF(Дела!$A:$A,ROW()-1)&gt;0,VLOOKUP(ROW()-1,Дела!$A:$C,3,0),"")</f>
        <v>+7 (925) 768-91-13_x000D_
+7 (495) 508-84-32_x000D_
+7 (903) 226-69-36_x000D_
+7 (903) 619-46-13</v>
      </c>
      <c r="B178" s="11" t="str">
        <f>IF(COUNTIF(Дела!$A:$A,ROW()-1)&gt;0,VLOOKUP(ROW()-1,Дела!$A:$F,6,0),"")</f>
        <v>А41-14869/2024</v>
      </c>
      <c r="C178" s="11" t="str">
        <f>IF(COUNTIF(Дела!$A:$A,ROW()-1)&gt;0,VLOOKUP(ROW()-1,Дела!$A:$G,7,0),"")</f>
        <v>АО "Мосэнергосбыт"</v>
      </c>
      <c r="D178" s="11" t="str">
        <f>IF(COUNTIF(Дела!$A:$A,ROW()-1)&gt;0,VLOOKUP(ROW()-1,Дела!$A:$I,9,0),"")</f>
        <v>ООО "Азбука Уюта"</v>
      </c>
      <c r="E178" s="11" t="str">
        <f t="shared" si="2"/>
        <v>Надежда Павловна</v>
      </c>
      <c r="F178" s="12">
        <f>IF(COUNTIF(Дела!$A:$A,ROW()-1)&gt;0,VLOOKUP(ROW()-1,Дела!$A:$M,13,0),"")</f>
        <v>506274.65</v>
      </c>
      <c r="G178" s="13">
        <f>IF(COUNTIF(Дела!$A:$A,ROW()-1)&gt;0,VLOOKUP(ROW()-1,Дела!$A:$N,14,0),"")</f>
        <v>45344</v>
      </c>
      <c r="H178" s="11" t="str">
        <f>IF(COUNTIF(Дела!$A:$A,ROW()-1)&gt;0,VLOOKUP(ROW()-1,Дела!$A:$K,11,0),"")</f>
        <v>Гатчина Надежда Павловна</v>
      </c>
    </row>
    <row r="179" spans="1:8" ht="409.5" x14ac:dyDescent="0.25">
      <c r="A179" s="11" t="str">
        <f>IF(COUNTIF(Дела!$A:$A,ROW()-1)&gt;0,VLOOKUP(ROW()-1,Дела!$A:$C,3,0),"")</f>
        <v>+7 (49663) 6-10-40_x000D_
+7 (915) 157-52-20_x000D_
8 (800) 200-30-00_x000D_
+7 (495) 549-63-21_x000D_
+7 (495) 582-90-20_x000D_
+7 (49663) 0-00-00_x000D_
+7 (49663) 2-16-78_x000D_
+7 (49663) 2-43-34_x000D_
+7 (49663) 2-45-89_x000D_
+7 (49663) 2-56-98, доб 4_x000D_
+7 (49663) 2-57-85_x000D_
+7 (49663) 2-62-89_x000D_
+7 (49663) 3-18-55_x000D_
+7 (49663) 3-36-00_x000D_
+7 (49663) 3-59-64_x000D_
+7 (49663) 3-65-98_x000D_
+7 (49663) 4-22-15_x000D_
+7 (49663) 5-64-56_x000D_
+7 (49663) 6-16-05_x000D_
+7 (49663) 6-18-12_x000D_
+7 (49663) 6-22-54_x000D_
+7 (49663) 9-61-05_x000D_
+7 (49663) 6-10-56_x000D_
+7 (49663) 3-65-94, доб 7_x000D_
+7 (495) 658-21-47_x000D_
+7 (49663) 3-11-93_x000D_
+7 (49663) 2-32-69_x000D_
+7 (49663) 2-54-54_x000D_
+7 (49663) 4-25-25_x000D_
+7 (49663) 2-35-69, доб 87_x000D_
+7 (49663) 1-16-05_x000D_
+7 (49669) 6-10-56_x000D_
+7 (49663) 6-04-00_x000D_
+7 (969) 630-64-00_x000D_
+7 (49663) 9-11-87_x000D_
+7 (49663) 6-19-05_x000D_
+7 (495) 636-15-06_x000D_
+7 (49663) 9-11-89_x000D_
+7 (49663) 6-22-58_x000D_
+7 (49663) 6-12-58_x000D_
+7 (49663) 6-12-59, доб 6_x000D_
+7 (49663) 6-19-15_x000D_
+7 (49663) 6-36-19, доб 15_x000D_
+7 (49663) 0-00-00, доб 00_x000D_
+7 (49663) 6-22-95_x000D_
+7 (49663) 6-46-05_x000D_
+7 (49663) 6-19-18_x000D_
+7 (916) 505-07-06_x000D_
+7 (49663) 6-12-54_x000D_
+7 (49663) 6-12-48_x000D_
+7 (49663) 6-19-25_x000D_
+7 (49663) 6-15-48, доб 59_x000D_
+7 (49663) 6-54-32_x000D_
+7 (49663) 6-53-56_x000D_
+7 (49663) 6-45-98_x000D_
+7 (495) 634-22-15_x000D_
+7 (49663) 6-16-35_x000D_
+7 (49663) 6-15-05_x000D_
+7 (49663) 6-29-88_x000D_
+7 (49663) 9-81-82_x000D_
+7 (498) 657-41-45_x000D_
+7 (49663) 6-61-60_x000D_
+7 (49666) 3-42-21, доб 5_x000D_
+7 (499) 972-82-83_x000D_
+7 (49663) 6-13-31_x000D_
+7 (495) 559-84-97_x000D_
+7 (49663) 6-24-43</v>
      </c>
      <c r="B179" s="11" t="str">
        <f>IF(COUNTIF(Дела!$A:$A,ROW()-1)&gt;0,VLOOKUP(ROW()-1,Дела!$A:$F,6,0),"")</f>
        <v>А41-14864/2024</v>
      </c>
      <c r="C179" s="11" t="str">
        <f>IF(COUNTIF(Дела!$A:$A,ROW()-1)&gt;0,VLOOKUP(ROW()-1,Дела!$A:$G,7,0),"")</f>
        <v>АО "Мосэнергосбыт"</v>
      </c>
      <c r="D179" s="11" t="str">
        <f>IF(COUNTIF(Дела!$A:$A,ROW()-1)&gt;0,VLOOKUP(ROW()-1,Дела!$A:$I,9,0),"")</f>
        <v>ООО "ВТКХ"</v>
      </c>
      <c r="E179" s="11" t="str">
        <f t="shared" si="2"/>
        <v>Дмитрий Анатольевич</v>
      </c>
      <c r="F179" s="12">
        <f>IF(COUNTIF(Дела!$A:$A,ROW()-1)&gt;0,VLOOKUP(ROW()-1,Дела!$A:$M,13,0),"")</f>
        <v>12543660.689999999</v>
      </c>
      <c r="G179" s="13">
        <f>IF(COUNTIF(Дела!$A:$A,ROW()-1)&gt;0,VLOOKUP(ROW()-1,Дела!$A:$N,14,0),"")</f>
        <v>45344</v>
      </c>
      <c r="H179" s="11" t="str">
        <f>IF(COUNTIF(Дела!$A:$A,ROW()-1)&gt;0,VLOOKUP(ROW()-1,Дела!$A:$K,11,0),"")</f>
        <v>Капырин Дмитрий Анатольевич</v>
      </c>
    </row>
    <row r="180" spans="1:8" ht="330" x14ac:dyDescent="0.25">
      <c r="A180" s="11" t="str">
        <f>IF(COUNTIF(Дела!$A:$A,ROW()-1)&gt;0,VLOOKUP(ROW()-1,Дела!$A:$C,3,0),"")</f>
        <v>+7 (4967) 54-55-74_x000D_
+7 (4967) 52-96-38_x000D_
+7 (4967) 54-57-37_x000D_
+7 (4967) 56-89-25_x000D_
+7 (4967) 54-73-27_x000D_
+7 (903) 100-52-26_x000D_
+7 (4967) 56-84-18_x000D_
+7 (4967) 54-57-50_x000D_
+7 (4967) 52-67-81_x000D_
+7 (4967) 57-84-19_x000D_
+7 (4967) 52-03-35</v>
      </c>
      <c r="B180" s="11" t="str">
        <f>IF(COUNTIF(Дела!$A:$A,ROW()-1)&gt;0,VLOOKUP(ROW()-1,Дела!$A:$F,6,0),"")</f>
        <v>А41-14835/2024</v>
      </c>
      <c r="C180" s="11" t="str">
        <f>IF(COUNTIF(Дела!$A:$A,ROW()-1)&gt;0,VLOOKUP(ROW()-1,Дела!$A:$G,7,0),"")</f>
        <v>АО "Мосэнергосбыт"</v>
      </c>
      <c r="D180" s="11" t="str">
        <f>IF(COUNTIF(Дела!$A:$A,ROW()-1)&gt;0,VLOOKUP(ROW()-1,Дела!$A:$I,9,0),"")</f>
        <v>МУП "УК Подольск"</v>
      </c>
      <c r="E180" s="11" t="str">
        <f t="shared" si="2"/>
        <v>Александр Дмитриевич</v>
      </c>
      <c r="F180" s="12">
        <f>IF(COUNTIF(Дела!$A:$A,ROW()-1)&gt;0,VLOOKUP(ROW()-1,Дела!$A:$M,13,0),"")</f>
        <v>986344.44</v>
      </c>
      <c r="G180" s="13">
        <f>IF(COUNTIF(Дела!$A:$A,ROW()-1)&gt;0,VLOOKUP(ROW()-1,Дела!$A:$N,14,0),"")</f>
        <v>45344</v>
      </c>
      <c r="H180" s="11" t="str">
        <f>IF(COUNTIF(Дела!$A:$A,ROW()-1)&gt;0,VLOOKUP(ROW()-1,Дела!$A:$K,11,0),"")</f>
        <v>Тетерин Александр Дмитриевич</v>
      </c>
    </row>
    <row r="181" spans="1:8" ht="330" x14ac:dyDescent="0.25">
      <c r="A181" s="11" t="str">
        <f>IF(COUNTIF(Дела!$A:$A,ROW()-1)&gt;0,VLOOKUP(ROW()-1,Дела!$A:$C,3,0),"")</f>
        <v>+7 (4967) 54-55-74_x000D_
+7 (4967) 52-96-38_x000D_
+7 (4967) 54-57-37_x000D_
+7 (4967) 56-89-25_x000D_
+7 (4967) 54-73-27_x000D_
+7 (903) 100-52-26_x000D_
+7 (4967) 56-84-18_x000D_
+7 (4967) 54-57-50_x000D_
+7 (4967) 52-67-81_x000D_
+7 (4967) 57-84-19_x000D_
+7 (4967) 52-03-35</v>
      </c>
      <c r="B181" s="11" t="str">
        <f>IF(COUNTIF(Дела!$A:$A,ROW()-1)&gt;0,VLOOKUP(ROW()-1,Дела!$A:$F,6,0),"")</f>
        <v>А41-14846/2024</v>
      </c>
      <c r="C181" s="11" t="str">
        <f>IF(COUNTIF(Дела!$A:$A,ROW()-1)&gt;0,VLOOKUP(ROW()-1,Дела!$A:$G,7,0),"")</f>
        <v>АО "Мосэнергосбыт"</v>
      </c>
      <c r="D181" s="11" t="str">
        <f>IF(COUNTIF(Дела!$A:$A,ROW()-1)&gt;0,VLOOKUP(ROW()-1,Дела!$A:$I,9,0),"")</f>
        <v>МУП "УК Подольск"</v>
      </c>
      <c r="E181" s="11" t="str">
        <f t="shared" si="2"/>
        <v>Александр Дмитриевич</v>
      </c>
      <c r="F181" s="12">
        <f>IF(COUNTIF(Дела!$A:$A,ROW()-1)&gt;0,VLOOKUP(ROW()-1,Дела!$A:$M,13,0),"")</f>
        <v>734323.62</v>
      </c>
      <c r="G181" s="13">
        <f>IF(COUNTIF(Дела!$A:$A,ROW()-1)&gt;0,VLOOKUP(ROW()-1,Дела!$A:$N,14,0),"")</f>
        <v>45344</v>
      </c>
      <c r="H181" s="11" t="str">
        <f>IF(COUNTIF(Дела!$A:$A,ROW()-1)&gt;0,VLOOKUP(ROW()-1,Дела!$A:$K,11,0),"")</f>
        <v>Тетерин Александр Дмитриевич</v>
      </c>
    </row>
    <row r="182" spans="1:8" ht="60" x14ac:dyDescent="0.25">
      <c r="A182" s="11" t="str">
        <f>IF(COUNTIF(Дела!$A:$A,ROW()-1)&gt;0,VLOOKUP(ROW()-1,Дела!$A:$C,3,0),"")</f>
        <v>+7 (495) 501-03-09_x000D_
+7 (903) 169-93-54</v>
      </c>
      <c r="B182" s="11" t="str">
        <f>IF(COUNTIF(Дела!$A:$A,ROW()-1)&gt;0,VLOOKUP(ROW()-1,Дела!$A:$F,6,0),"")</f>
        <v>А41-14824/2024</v>
      </c>
      <c r="C182" s="11" t="str">
        <f>IF(COUNTIF(Дела!$A:$A,ROW()-1)&gt;0,VLOOKUP(ROW()-1,Дела!$A:$G,7,0),"")</f>
        <v>АО "Мосэнергосбыт"</v>
      </c>
      <c r="D182" s="11" t="str">
        <f>IF(COUNTIF(Дела!$A:$A,ROW()-1)&gt;0,VLOOKUP(ROW()-1,Дела!$A:$I,9,0),"")</f>
        <v>ДНТ "Обрабпрос"</v>
      </c>
      <c r="E182" s="11" t="str">
        <f t="shared" si="2"/>
        <v>Татьяна Ивановна</v>
      </c>
      <c r="F182" s="12">
        <f>IF(COUNTIF(Дела!$A:$A,ROW()-1)&gt;0,VLOOKUP(ROW()-1,Дела!$A:$M,13,0),"")</f>
        <v>2405350.87</v>
      </c>
      <c r="G182" s="13">
        <f>IF(COUNTIF(Дела!$A:$A,ROW()-1)&gt;0,VLOOKUP(ROW()-1,Дела!$A:$N,14,0),"")</f>
        <v>45344</v>
      </c>
      <c r="H182" s="11" t="str">
        <f>IF(COUNTIF(Дела!$A:$A,ROW()-1)&gt;0,VLOOKUP(ROW()-1,Дела!$A:$K,11,0),"")</f>
        <v>Веденова Татьяна Ивановна</v>
      </c>
    </row>
    <row r="183" spans="1:8" ht="30" x14ac:dyDescent="0.25">
      <c r="A183" s="11">
        <f>IF(COUNTIF(Дела!$A:$A,ROW()-1)&gt;0,VLOOKUP(ROW()-1,Дела!$A:$C,3,0),"")</f>
        <v>0</v>
      </c>
      <c r="B183" s="11" t="str">
        <f>IF(COUNTIF(Дела!$A:$A,ROW()-1)&gt;0,VLOOKUP(ROW()-1,Дела!$A:$F,6,0),"")</f>
        <v>А41-14815/2024</v>
      </c>
      <c r="C183" s="11" t="str">
        <f>IF(COUNTIF(Дела!$A:$A,ROW()-1)&gt;0,VLOOKUP(ROW()-1,Дела!$A:$G,7,0),"")</f>
        <v>ООО ГК "Строй Индустрия"</v>
      </c>
      <c r="D183" s="11" t="str">
        <f>IF(COUNTIF(Дела!$A:$A,ROW()-1)&gt;0,VLOOKUP(ROW()-1,Дела!$A:$I,9,0),"")</f>
        <v>ООО "Курс-Инвест"</v>
      </c>
      <c r="E183" s="11" t="str">
        <f t="shared" si="2"/>
        <v>Вадим Владимирович</v>
      </c>
      <c r="F183" s="12">
        <f>IF(COUNTIF(Дела!$A:$A,ROW()-1)&gt;0,VLOOKUP(ROW()-1,Дела!$A:$M,13,0),"")</f>
        <v>951191.9</v>
      </c>
      <c r="G183" s="13">
        <f>IF(COUNTIF(Дела!$A:$A,ROW()-1)&gt;0,VLOOKUP(ROW()-1,Дела!$A:$N,14,0),"")</f>
        <v>45344</v>
      </c>
      <c r="H183" s="11" t="str">
        <f>IF(COUNTIF(Дела!$A:$A,ROW()-1)&gt;0,VLOOKUP(ROW()-1,Дела!$A:$K,11,0),"")</f>
        <v>Сотниченко Вадим Владимирович</v>
      </c>
    </row>
    <row r="184" spans="1:8" ht="409.5" x14ac:dyDescent="0.25">
      <c r="A184" s="11" t="str">
        <f>IF(COUNTIF(Дела!$A:$A,ROW()-1)&gt;0,VLOOKUP(ROW()-1,Дела!$A:$C,3,0),"")</f>
        <v>+7 (499) 261-17-43_x000D_
+7 (499) 263-63-91_x000D_
+7 (4842) 74-40-32_x000D_
+7 (499) 261-45-97_x000D_
+7 (499) 263-63-76_x000D_
+7 (499) 267-48-44_x000D_
+7 (499) 367-06-36_x000D_
+7 (499) 263-64-63_x000D_
+7 (495) 263-60-45_x000D_
+7 (495) 993-95-51_x000D_
+7 (498) 687-36-52_x000D_
+7(499)2636391_x000D_
+7(499)2611743_x000D_
+7(4842)744032_x000D_
+7 (499) 632-22-44_x000D_
+7(499)6322244_x000D_
+7 (4842) 56-30-45_x000D_
+7 (495) 261-48-95_x000D_
+7 (495) 263-61-34_x000D_
+7 (495) 263-67-15_x000D_
+7 (495) 993-99-59_x000D_
+7 (49622) 6-91-02_x000D_
+7 (49622) 6-97-08_x000D_
+7 (499) 261-02-28_x000D_
+7 (499) 261-51-67_x000D_
+7 (499) 263-60-11_x000D_
+7 (499) 263-60-65_x000D_
+7 (499) 263-62-16_x000D_
+7 (499) 263-62-52_x000D_
+7 (499) 263-69-56_x000D_
+7 (499) 267-17-93_x000D_
+7 (499) 267-74-15_x000D_
+7 (499) 499-26-15, доб 225_x000D_
+7 (499) 499-26-77, доб 985_x000D_
+7 (86638) 7-86-49_x000D_
+7 (495) 263-63-91_x000D_
+7 (499) 263-64-64_x000D_
+7 (495) 958-27-43_x000D_
+7 (495) 120-30-75_x000D_
+7 (919) 964-30-30_x000D_
+7 (49622) 6-92-17_x000D_
+7 (495) 104-25-88_x000D_
+7 (499) 263-68-07_x000D_
+7 (499) 263-68-46_x000D_
+7 (499) 203-63-91_x000D_
+7 (499) 263-65-31_x000D_
+7 (916) 714-31-74_x000D_
+7 (495) 632-23-18_x000D_
+7 (499) 263-61-58_x000D_
+7 (499) 500-00-05_x000D_
+7 (499) 263-67-93_x000D_
+7 (499) 263-68-11_x000D_
+7 (499) 263-68-16_x000D_
+7 (499) 263-69-55_x000D_
+7 (499) 263-64-75_x000D_
+7 (495) 261-86-44_x000D_
+7 (499) 263-61-15_x000D_
+7 (495) 261-17-43_x000D_
+7 (87145) 2-36-54, доб 1_x000D_
+7 (919) 728-75-18_x000D_
+7 (499) 267-86-40_x000D_
+7 (499) 263-60-45_x000D_
+7 (495) 654-89-71_x000D_
+7 (495) 267-48-44_x000D_
+7 (499) 263-61-93_x000D_
+7 (499) 263-67-30_x000D_
+7 (499) 263-60-36_x000D_
+7 (495) 632-22-47_x000D_
+7 (499) 263-69-50_x000D_
+7 (499) 367-09-63_x000D_
+7 (499) 643-26-36, доб 798_x000D_
+7 (495) 993-95-91_x000D_
+7 (495) 263-67-85_x000D_
+7 (499) 261-61-63_x000D_
+7 (499) 267-00-63_x000D_
+7 (985) 786-12-21_x000D_
+7 (499) 263-67-91_x000D_
+7 (499) 261-34-85_x000D_
+7 (499) 263-64-11_x000D_
+7 (916) 847-12-59_x000D_
+7 (499) 263-65-41_x000D_
+7 (499) 263-61-98_x000D_
+7 (495) 263-62-55_x000D_
+7 (495) 263-64-63_x000D_
+7 (499) 263-66-87_x000D_
+7 (499) 263-65-23_x000D_
+7 (499) 263-64-45_x000D_
+7 (499) 267-89-03_x000D_
+7 (499) 261-45-70_x000D_
+7 (495) 548-45-13, доб 2_x000D_
+7 (499) 263-63-65_x000D_
+7 (495) 958-24-65_x000D_
+7 (499) 166-54-23_x000D_
+7 (905) 903-56-97_x000D_
+7 (4842) 22-05-99_x000D_
+7 (499) 261-67-19_x000D_
+7 (926) 233-42-43_x000D_
+7 (905) 575-01-54_x000D_
+7 (499) 267-72-23_x000D_
+7 (499) 261-00-85</v>
      </c>
      <c r="B184" s="11" t="str">
        <f>IF(COUNTIF(Дела!$A:$A,ROW()-1)&gt;0,VLOOKUP(ROW()-1,Дела!$A:$F,6,0),"")</f>
        <v>А41-14804/2024</v>
      </c>
      <c r="C184" s="11" t="str">
        <f>IF(COUNTIF(Дела!$A:$A,ROW()-1)&gt;0,VLOOKUP(ROW()-1,Дела!$A:$G,7,0),"")</f>
        <v>ООО ЧОО "Спец-Групп"</v>
      </c>
      <c r="D184" s="11" t="str">
        <f>IF(COUNTIF(Дела!$A:$A,ROW()-1)&gt;0,VLOOKUP(ROW()-1,Дела!$A:$I,9,0),"")</f>
        <v>МГТУ им. Н.Э. Баумана</v>
      </c>
      <c r="E184" s="11" t="str">
        <f t="shared" si="2"/>
        <v>Михаил Валерьевич</v>
      </c>
      <c r="F184" s="12">
        <f>IF(COUNTIF(Дела!$A:$A,ROW()-1)&gt;0,VLOOKUP(ROW()-1,Дела!$A:$M,13,0),"")</f>
        <v>3300000</v>
      </c>
      <c r="G184" s="13">
        <f>IF(COUNTIF(Дела!$A:$A,ROW()-1)&gt;0,VLOOKUP(ROW()-1,Дела!$A:$N,14,0),"")</f>
        <v>45344</v>
      </c>
      <c r="H184" s="11" t="str">
        <f>IF(COUNTIF(Дела!$A:$A,ROW()-1)&gt;0,VLOOKUP(ROW()-1,Дела!$A:$K,11,0),"")</f>
        <v>Гордин Михаил Валерьевич</v>
      </c>
    </row>
    <row r="185" spans="1:8" ht="45" x14ac:dyDescent="0.25">
      <c r="A185" s="11">
        <f>IF(COUNTIF(Дела!$A:$A,ROW()-1)&gt;0,VLOOKUP(ROW()-1,Дела!$A:$C,3,0),"")</f>
        <v>0</v>
      </c>
      <c r="B185" s="11" t="str">
        <f>IF(COUNTIF(Дела!$A:$A,ROW()-1)&gt;0,VLOOKUP(ROW()-1,Дела!$A:$F,6,0),"")</f>
        <v>А41-14803/2024</v>
      </c>
      <c r="C185" s="11" t="str">
        <f>IF(COUNTIF(Дела!$A:$A,ROW()-1)&gt;0,VLOOKUP(ROW()-1,Дела!$A:$G,7,0),"")</f>
        <v>ООО "Форт+"</v>
      </c>
      <c r="D185" s="11" t="str">
        <f>IF(COUNTIF(Дела!$A:$A,ROW()-1)&gt;0,VLOOKUP(ROW()-1,Дела!$A:$I,9,0),"")</f>
        <v>ИП Картолинская Наталия Алексеевна</v>
      </c>
      <c r="E185" s="11" t="str">
        <f t="shared" si="2"/>
        <v>Наталия Алексеевна</v>
      </c>
      <c r="F185" s="12">
        <f>IF(COUNTIF(Дела!$A:$A,ROW()-1)&gt;0,VLOOKUP(ROW()-1,Дела!$A:$M,13,0),"")</f>
        <v>2567744.2799999998</v>
      </c>
      <c r="G185" s="13">
        <f>IF(COUNTIF(Дела!$A:$A,ROW()-1)&gt;0,VLOOKUP(ROW()-1,Дела!$A:$N,14,0),"")</f>
        <v>45344</v>
      </c>
      <c r="H185" s="11" t="str">
        <f>IF(COUNTIF(Дела!$A:$A,ROW()-1)&gt;0,VLOOKUP(ROW()-1,Дела!$A:$K,11,0),"")</f>
        <v>Картолинская Наталия Алексеевна</v>
      </c>
    </row>
    <row r="186" spans="1:8" ht="409.5" x14ac:dyDescent="0.25">
      <c r="A186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186" s="11" t="str">
        <f>IF(COUNTIF(Дела!$A:$A,ROW()-1)&gt;0,VLOOKUP(ROW()-1,Дела!$A:$F,6,0),"")</f>
        <v>А40-36102/2024</v>
      </c>
      <c r="C186" s="11" t="str">
        <f>IF(COUNTIF(Дела!$A:$A,ROW()-1)&gt;0,VLOOKUP(ROW()-1,Дела!$A:$G,7,0),"")</f>
        <v>ООО "РГП"</v>
      </c>
      <c r="D186" s="11" t="str">
        <f>IF(COUNTIF(Дела!$A:$A,ROW()-1)&gt;0,VLOOKUP(ROW()-1,Дела!$A:$I,9,0),"")</f>
        <v>ОАО "РЖД"</v>
      </c>
      <c r="E186" s="11" t="str">
        <f t="shared" si="2"/>
        <v>Олег Валентинович</v>
      </c>
      <c r="F186" s="12">
        <f>IF(COUNTIF(Дела!$A:$A,ROW()-1)&gt;0,VLOOKUP(ROW()-1,Дела!$A:$M,13,0),"")</f>
        <v>683032.14</v>
      </c>
      <c r="G186" s="13">
        <f>IF(COUNTIF(Дела!$A:$A,ROW()-1)&gt;0,VLOOKUP(ROW()-1,Дела!$A:$N,14,0),"")</f>
        <v>45343</v>
      </c>
      <c r="H186" s="11" t="str">
        <f>IF(COUNTIF(Дела!$A:$A,ROW()-1)&gt;0,VLOOKUP(ROW()-1,Дела!$A:$K,11,0),"")</f>
        <v>Белозёров Олег Валентинович</v>
      </c>
    </row>
    <row r="187" spans="1:8" ht="45" x14ac:dyDescent="0.25">
      <c r="A187" s="11">
        <f>IF(COUNTIF(Дела!$A:$A,ROW()-1)&gt;0,VLOOKUP(ROW()-1,Дела!$A:$C,3,0),"")</f>
        <v>0</v>
      </c>
      <c r="B187" s="11" t="str">
        <f>IF(COUNTIF(Дела!$A:$A,ROW()-1)&gt;0,VLOOKUP(ROW()-1,Дела!$A:$F,6,0),"")</f>
        <v>А40-36128/2024</v>
      </c>
      <c r="C187" s="11" t="str">
        <f>IF(COUNTIF(Дела!$A:$A,ROW()-1)&gt;0,VLOOKUP(ROW()-1,Дела!$A:$G,7,0),"")</f>
        <v>ИП Паскевич Олег Владимирович</v>
      </c>
      <c r="D187" s="11" t="str">
        <f>IF(COUNTIF(Дела!$A:$A,ROW()-1)&gt;0,VLOOKUP(ROW()-1,Дела!$A:$I,9,0),"")</f>
        <v>ООО "Арогомир"</v>
      </c>
      <c r="E187" s="11" t="str">
        <f t="shared" si="2"/>
        <v>Алексей Сергеевич</v>
      </c>
      <c r="F187" s="12">
        <f>IF(COUNTIF(Дела!$A:$A,ROW()-1)&gt;0,VLOOKUP(ROW()-1,Дела!$A:$M,13,0),"")</f>
        <v>588036</v>
      </c>
      <c r="G187" s="13">
        <f>IF(COUNTIF(Дела!$A:$A,ROW()-1)&gt;0,VLOOKUP(ROW()-1,Дела!$A:$N,14,0),"")</f>
        <v>45343</v>
      </c>
      <c r="H187" s="11" t="str">
        <f>IF(COUNTIF(Дела!$A:$A,ROW()-1)&gt;0,VLOOKUP(ROW()-1,Дела!$A:$K,11,0),"")</f>
        <v>Баронин Алексей Сергеевич</v>
      </c>
    </row>
    <row r="188" spans="1:8" ht="30" x14ac:dyDescent="0.25">
      <c r="A188" s="11" t="str">
        <f>IF(COUNTIF(Дела!$A:$A,ROW()-1)&gt;0,VLOOKUP(ROW()-1,Дела!$A:$C,3,0),"")</f>
        <v>+7 (926) 827-77-39</v>
      </c>
      <c r="B188" s="11" t="str">
        <f>IF(COUNTIF(Дела!$A:$A,ROW()-1)&gt;0,VLOOKUP(ROW()-1,Дела!$A:$F,6,0),"")</f>
        <v>А41-14785/2024</v>
      </c>
      <c r="C188" s="11" t="str">
        <f>IF(COUNTIF(Дела!$A:$A,ROW()-1)&gt;0,VLOOKUP(ROW()-1,Дела!$A:$G,7,0),"")</f>
        <v>ООО "Модум-Транс"</v>
      </c>
      <c r="D188" s="11" t="str">
        <f>IF(COUNTIF(Дела!$A:$A,ROW()-1)&gt;0,VLOOKUP(ROW()-1,Дела!$A:$I,9,0),"")</f>
        <v>ООО "Сибантрацит Логистика"</v>
      </c>
      <c r="E188" s="11" t="str">
        <f t="shared" si="2"/>
        <v>Михаил Николаевич</v>
      </c>
      <c r="F188" s="12">
        <f>IF(COUNTIF(Дела!$A:$A,ROW()-1)&gt;0,VLOOKUP(ROW()-1,Дела!$A:$M,13,0),"")</f>
        <v>1901150.73</v>
      </c>
      <c r="G188" s="13">
        <f>IF(COUNTIF(Дела!$A:$A,ROW()-1)&gt;0,VLOOKUP(ROW()-1,Дела!$A:$N,14,0),"")</f>
        <v>45344</v>
      </c>
      <c r="H188" s="11" t="str">
        <f>IF(COUNTIF(Дела!$A:$A,ROW()-1)&gt;0,VLOOKUP(ROW()-1,Дела!$A:$K,11,0),"")</f>
        <v>Умрихин Михаил Николаевич</v>
      </c>
    </row>
    <row r="189" spans="1:8" ht="90" x14ac:dyDescent="0.25">
      <c r="A189" s="11" t="str">
        <f>IF(COUNTIF(Дела!$A:$A,ROW()-1)&gt;0,VLOOKUP(ROW()-1,Дела!$A:$C,3,0),"")</f>
        <v>+7 (4725) 46-99-17_x000D_
+7 (4725) 43-99-17_x000D_
+7 (4725) 43-99-18</v>
      </c>
      <c r="B189" s="11" t="str">
        <f>IF(COUNTIF(Дела!$A:$A,ROW()-1)&gt;0,VLOOKUP(ROW()-1,Дела!$A:$F,6,0),"")</f>
        <v>А41-14800/2024</v>
      </c>
      <c r="C189" s="11" t="str">
        <f>IF(COUNTIF(Дела!$A:$A,ROW()-1)&gt;0,VLOOKUP(ROW()-1,Дела!$A:$G,7,0),"")</f>
        <v>АО "Цемрос"</v>
      </c>
      <c r="D189" s="11" t="str">
        <f>IF(COUNTIF(Дела!$A:$A,ROW()-1)&gt;0,VLOOKUP(ROW()-1,Дела!$A:$I,9,0),"")</f>
        <v>ООО "Промсервис"</v>
      </c>
      <c r="E189" s="11" t="str">
        <f t="shared" si="2"/>
        <v>Надежда Дмитриевна</v>
      </c>
      <c r="F189" s="12">
        <f>IF(COUNTIF(Дела!$A:$A,ROW()-1)&gt;0,VLOOKUP(ROW()-1,Дела!$A:$M,13,0),"")</f>
        <v>1335900</v>
      </c>
      <c r="G189" s="13">
        <f>IF(COUNTIF(Дела!$A:$A,ROW()-1)&gt;0,VLOOKUP(ROW()-1,Дела!$A:$N,14,0),"")</f>
        <v>45344</v>
      </c>
      <c r="H189" s="11" t="str">
        <f>IF(COUNTIF(Дела!$A:$A,ROW()-1)&gt;0,VLOOKUP(ROW()-1,Дела!$A:$K,11,0),"")</f>
        <v>Белянина Надежда Дмитриевна</v>
      </c>
    </row>
    <row r="190" spans="1:8" ht="409.5" x14ac:dyDescent="0.25">
      <c r="A190" s="11" t="str">
        <f>IF(COUNTIF(Дела!$A:$A,ROW()-1)&gt;0,VLOOKUP(ROW()-1,Дела!$A:$C,3,0),"")</f>
        <v>+7 (495) 355-90-57_x000D_
+7 (495) 355-91-12_x000D_
+7 (499) 580-07-92_x000D_
+7 (812) 374-24-40_x000D_
+7 (8612) 34-46-60_x000D_
+7 (495) 355-90-50_x000D_
+7 (8612) 31-09-65_x000D_
+7 (495) 355-93-28_x000D_
+7 (499) 580-07-93_x000D_
+7 (495) 276-00-51_x000D_
+7 (495) 355-90-80_x000D_
+7 (495) 355-91-04_x000D_
+7 (812) 455-19-87_x000D_
+7 (831) 433-14-26_x000D_
+7 (86350) 3-23-26_x000D_
+7 (920) 070-04-82_x000D_
+7 (495) 355-91-00_x000D_
+7 (495) 549-03-11_x000D_
+7 (495) 355-90-72_x000D_
+7 (495) 355-93-24_x000D_
+7 (495) 355-90-54_x000D_
+7 (495) 355-92-83_x000D_
+7 (498) 657-91-80_x000D_
+7 (495) 355-93-29_x000D_
+7 (499) 580-07-24_x000D_
+7 (495) 424-61-39_x000D_
+7 (498) 657-45-55_x000D_
+7 (495) 287-37-25_x000D_
+7 (495) 355-92-23_x000D_
+7 (495) 335-91-12_x000D_
+7 (495) 335-93-28_x000D_
+7 (499) 580-07-00_x000D_
+7 (42335) 5-92-60_x000D_
+7 (495) 549-03-11, доб 7756_x000D_
+7 (495) 775-64-23, доб 54_x000D_
+7 (903) 117-75-64, доб 39_x000D_
+7 (495) 355-93-22_x000D_
+7 (499) 580-07-90</v>
      </c>
      <c r="B190" s="11" t="str">
        <f>IF(COUNTIF(Дела!$A:$A,ROW()-1)&gt;0,VLOOKUP(ROW()-1,Дела!$A:$F,6,0),"")</f>
        <v>А40-35979/2024</v>
      </c>
      <c r="C190" s="11" t="str">
        <f>IF(COUNTIF(Дела!$A:$A,ROW()-1)&gt;0,VLOOKUP(ROW()-1,Дела!$A:$G,7,0),"")</f>
        <v>ООО "КПД Сервис"</v>
      </c>
      <c r="D190" s="11" t="str">
        <f>IF(COUNTIF(Дела!$A:$A,ROW()-1)&gt;0,VLOOKUP(ROW()-1,Дела!$A:$I,9,0),"")</f>
        <v>АО "Оргэнергогаз"</v>
      </c>
      <c r="E190" s="11" t="str">
        <f t="shared" si="2"/>
        <v>Алексей Владимирович</v>
      </c>
      <c r="F190" s="12">
        <f>IF(COUNTIF(Дела!$A:$A,ROW()-1)&gt;0,VLOOKUP(ROW()-1,Дела!$A:$M,13,0),"")</f>
        <v>610999.19999999995</v>
      </c>
      <c r="G190" s="13">
        <f>IF(COUNTIF(Дела!$A:$A,ROW()-1)&gt;0,VLOOKUP(ROW()-1,Дела!$A:$N,14,0),"")</f>
        <v>45343</v>
      </c>
      <c r="H190" s="11" t="str">
        <f>IF(COUNTIF(Дела!$A:$A,ROW()-1)&gt;0,VLOOKUP(ROW()-1,Дела!$A:$K,11,0),"")</f>
        <v>Фуркин Алексей Владимирович</v>
      </c>
    </row>
    <row r="191" spans="1:8" ht="45" x14ac:dyDescent="0.25">
      <c r="A191" s="11">
        <f>IF(COUNTIF(Дела!$A:$A,ROW()-1)&gt;0,VLOOKUP(ROW()-1,Дела!$A:$C,3,0),"")</f>
        <v>0</v>
      </c>
      <c r="B191" s="11" t="str">
        <f>IF(COUNTIF(Дела!$A:$A,ROW()-1)&gt;0,VLOOKUP(ROW()-1,Дела!$A:$F,6,0),"")</f>
        <v>А41-14802/2024</v>
      </c>
      <c r="C191" s="11" t="str">
        <f>IF(COUNTIF(Дела!$A:$A,ROW()-1)&gt;0,VLOOKUP(ROW()-1,Дела!$A:$G,7,0),"")</f>
        <v>МУП "Подольская Теплосеть"</v>
      </c>
      <c r="D191" s="11">
        <f>IF(COUNTIF(Дела!$A:$A,ROW()-1)&gt;0,VLOOKUP(ROW()-1,Дела!$A:$I,9,0),"")</f>
        <v>0</v>
      </c>
      <c r="E191" s="11" t="e">
        <f t="shared" si="2"/>
        <v>#VALUE!</v>
      </c>
      <c r="F191" s="12">
        <f>IF(COUNTIF(Дела!$A:$A,ROW()-1)&gt;0,VLOOKUP(ROW()-1,Дела!$A:$M,13,0),"")</f>
        <v>700433.7</v>
      </c>
      <c r="G191" s="13">
        <f>IF(COUNTIF(Дела!$A:$A,ROW()-1)&gt;0,VLOOKUP(ROW()-1,Дела!$A:$N,14,0),"")</f>
        <v>45344</v>
      </c>
      <c r="H191" s="11">
        <f>IF(COUNTIF(Дела!$A:$A,ROW()-1)&gt;0,VLOOKUP(ROW()-1,Дела!$A:$K,11,0),"")</f>
        <v>0</v>
      </c>
    </row>
    <row r="192" spans="1:8" ht="210" x14ac:dyDescent="0.25">
      <c r="A192" s="11" t="str">
        <f>IF(COUNTIF(Дела!$A:$A,ROW()-1)&gt;0,VLOOKUP(ROW()-1,Дела!$A:$C,3,0),"")</f>
        <v>+7 (495) 111-11-11_x000D_
+7 (495) 558-64-02_x000D_
+7 (495) 558-64-36_x000D_
+7 (495) 558-68-23_x000D_
+7 (495) 558-64-54_x000D_
+7 (495) 503-21-09_x000D_
+7 (495) 558-64-77</v>
      </c>
      <c r="B192" s="11" t="str">
        <f>IF(COUNTIF(Дела!$A:$A,ROW()-1)&gt;0,VLOOKUP(ROW()-1,Дела!$A:$F,6,0),"")</f>
        <v>А41-14816/2024</v>
      </c>
      <c r="C192" s="11" t="str">
        <f>IF(COUNTIF(Дела!$A:$A,ROW()-1)&gt;0,VLOOKUP(ROW()-1,Дела!$A:$G,7,0),"")</f>
        <v>АО "Мосэнергосбыт"</v>
      </c>
      <c r="D192" s="11" t="str">
        <f>IF(COUNTIF(Дела!$A:$A,ROW()-1)&gt;0,VLOOKUP(ROW()-1,Дела!$A:$I,9,0),"")</f>
        <v>ООО "Любэнергоснаб"</v>
      </c>
      <c r="E192" s="11" t="str">
        <f t="shared" si="2"/>
        <v>Владимир Алексеевич</v>
      </c>
      <c r="F192" s="12">
        <f>IF(COUNTIF(Дела!$A:$A,ROW()-1)&gt;0,VLOOKUP(ROW()-1,Дела!$A:$M,13,0),"")</f>
        <v>4722853.78</v>
      </c>
      <c r="G192" s="13">
        <f>IF(COUNTIF(Дела!$A:$A,ROW()-1)&gt;0,VLOOKUP(ROW()-1,Дела!$A:$N,14,0),"")</f>
        <v>45344</v>
      </c>
      <c r="H192" s="11" t="str">
        <f>IF(COUNTIF(Дела!$A:$A,ROW()-1)&gt;0,VLOOKUP(ROW()-1,Дела!$A:$K,11,0),"")</f>
        <v>Симоненко Владимир Алексеевич</v>
      </c>
    </row>
    <row r="193" spans="1:8" ht="210" x14ac:dyDescent="0.25">
      <c r="A193" s="11" t="str">
        <f>IF(COUNTIF(Дела!$A:$A,ROW()-1)&gt;0,VLOOKUP(ROW()-1,Дела!$A:$C,3,0),"")</f>
        <v>+7 (495) 994-57-87_x000D_
+7 (495) 561-72-60_x000D_
+7 (49831) 7-71-21_x000D_
+7 (495) 561-72-98_x000D_
+7 (495) 994-57-87, доб 216_x000D_
+7 (495) 561-70-28_x000D_
+7 (495) 561-71-04</v>
      </c>
      <c r="B193" s="11" t="str">
        <f>IF(COUNTIF(Дела!$A:$A,ROW()-1)&gt;0,VLOOKUP(ROW()-1,Дела!$A:$F,6,0),"")</f>
        <v>А41-14821/2024</v>
      </c>
      <c r="C193" s="11" t="str">
        <f>IF(COUNTIF(Дела!$A:$A,ROW()-1)&gt;0,VLOOKUP(ROW()-1,Дела!$A:$G,7,0),"")</f>
        <v>АО "Мосэнергосбыт"</v>
      </c>
      <c r="D193" s="11" t="str">
        <f>IF(COUNTIF(Дела!$A:$A,ROW()-1)&gt;0,VLOOKUP(ROW()-1,Дела!$A:$I,9,0),"")</f>
        <v>АО "Сокол"</v>
      </c>
      <c r="E193" s="11" t="str">
        <f t="shared" si="2"/>
        <v>Илья Александрович</v>
      </c>
      <c r="F193" s="12">
        <f>IF(COUNTIF(Дела!$A:$A,ROW()-1)&gt;0,VLOOKUP(ROW()-1,Дела!$A:$M,13,0),"")</f>
        <v>2574685.87</v>
      </c>
      <c r="G193" s="13">
        <f>IF(COUNTIF(Дела!$A:$A,ROW()-1)&gt;0,VLOOKUP(ROW()-1,Дела!$A:$N,14,0),"")</f>
        <v>45344</v>
      </c>
      <c r="H193" s="11" t="str">
        <f>IF(COUNTIF(Дела!$A:$A,ROW()-1)&gt;0,VLOOKUP(ROW()-1,Дела!$A:$K,11,0),"")</f>
        <v>Забара Илья Александрович</v>
      </c>
    </row>
    <row r="194" spans="1:8" ht="45" x14ac:dyDescent="0.25">
      <c r="A194" s="11" t="str">
        <f>IF(COUNTIF(Дела!$A:$A,ROW()-1)&gt;0,VLOOKUP(ROW()-1,Дела!$A:$C,3,0),"")</f>
        <v>+7 (916) 154-02-28</v>
      </c>
      <c r="B194" s="11" t="str">
        <f>IF(COUNTIF(Дела!$A:$A,ROW()-1)&gt;0,VLOOKUP(ROW()-1,Дела!$A:$F,6,0),"")</f>
        <v>А40-35477/2024</v>
      </c>
      <c r="C194" s="11" t="str">
        <f>IF(COUNTIF(Дела!$A:$A,ROW()-1)&gt;0,VLOOKUP(ROW()-1,Дела!$A:$G,7,0),"")</f>
        <v>Минприроды Тверской области</v>
      </c>
      <c r="D194" s="11" t="str">
        <f>IF(COUNTIF(Дела!$A:$A,ROW()-1)&gt;0,VLOOKUP(ROW()-1,Дела!$A:$I,9,0),"")</f>
        <v>ООО "Битумастик"</v>
      </c>
      <c r="E194" s="11" t="str">
        <f t="shared" si="2"/>
        <v>Татьяна Павловна</v>
      </c>
      <c r="F194" s="12">
        <f>IF(COUNTIF(Дела!$A:$A,ROW()-1)&gt;0,VLOOKUP(ROW()-1,Дела!$A:$M,13,0),"")</f>
        <v>602316</v>
      </c>
      <c r="G194" s="13">
        <f>IF(COUNTIF(Дела!$A:$A,ROW()-1)&gt;0,VLOOKUP(ROW()-1,Дела!$A:$N,14,0),"")</f>
        <v>45343</v>
      </c>
      <c r="H194" s="11" t="str">
        <f>IF(COUNTIF(Дела!$A:$A,ROW()-1)&gt;0,VLOOKUP(ROW()-1,Дела!$A:$K,11,0),"")</f>
        <v>Лисякова Татьяна Павловна</v>
      </c>
    </row>
    <row r="195" spans="1:8" ht="60" x14ac:dyDescent="0.25">
      <c r="A195" s="11" t="str">
        <f>IF(COUNTIF(Дела!$A:$A,ROW()-1)&gt;0,VLOOKUP(ROW()-1,Дела!$A:$C,3,0),"")</f>
        <v>+7 (49670) 2-15-03_x000D_
+7 (495) 000-00-00</v>
      </c>
      <c r="B195" s="11" t="str">
        <f>IF(COUNTIF(Дела!$A:$A,ROW()-1)&gt;0,VLOOKUP(ROW()-1,Дела!$A:$F,6,0),"")</f>
        <v>А41-14822/2024</v>
      </c>
      <c r="C195" s="11" t="str">
        <f>IF(COUNTIF(Дела!$A:$A,ROW()-1)&gt;0,VLOOKUP(ROW()-1,Дела!$A:$G,7,0),"")</f>
        <v>ООО "ЮМА"</v>
      </c>
      <c r="D195" s="11" t="str">
        <f>IF(COUNTIF(Дела!$A:$A,ROW()-1)&gt;0,VLOOKUP(ROW()-1,Дела!$A:$I,9,0),"")</f>
        <v>Администрация городского округа Коломна</v>
      </c>
      <c r="E195" s="11" t="str">
        <f t="shared" ref="E195:E258" si="3">IF(H195="","",MID(H195,SEARCH(" ",H195)+1,1000))</f>
        <v>Александр Владимирович</v>
      </c>
      <c r="F195" s="12">
        <f>IF(COUNTIF(Дела!$A:$A,ROW()-1)&gt;0,VLOOKUP(ROW()-1,Дела!$A:$M,13,0),"")</f>
        <v>630154.9</v>
      </c>
      <c r="G195" s="13">
        <f>IF(COUNTIF(Дела!$A:$A,ROW()-1)&gt;0,VLOOKUP(ROW()-1,Дела!$A:$N,14,0),"")</f>
        <v>45344</v>
      </c>
      <c r="H195" s="11" t="str">
        <f>IF(COUNTIF(Дела!$A:$A,ROW()-1)&gt;0,VLOOKUP(ROW()-1,Дела!$A:$K,11,0),"")</f>
        <v>Гречищев Александр Владимирович</v>
      </c>
    </row>
    <row r="196" spans="1:8" ht="30" x14ac:dyDescent="0.25">
      <c r="A196" s="11">
        <f>IF(COUNTIF(Дела!$A:$A,ROW()-1)&gt;0,VLOOKUP(ROW()-1,Дела!$A:$C,3,0),"")</f>
        <v>0</v>
      </c>
      <c r="B196" s="11" t="str">
        <f>IF(COUNTIF(Дела!$A:$A,ROW()-1)&gt;0,VLOOKUP(ROW()-1,Дела!$A:$F,6,0),"")</f>
        <v>А41-14830/2024</v>
      </c>
      <c r="C196" s="11" t="str">
        <f>IF(COUNTIF(Дела!$A:$A,ROW()-1)&gt;0,VLOOKUP(ROW()-1,Дела!$A:$G,7,0),"")</f>
        <v>ООО "НЭК"</v>
      </c>
      <c r="D196" s="11" t="str">
        <f>IF(COUNTIF(Дела!$A:$A,ROW()-1)&gt;0,VLOOKUP(ROW()-1,Дела!$A:$I,9,0),"")</f>
        <v>ООО "Корпорация Электросети"</v>
      </c>
      <c r="E196" s="11" t="str">
        <f t="shared" si="3"/>
        <v>Владимир Петрович</v>
      </c>
      <c r="F196" s="12">
        <f>IF(COUNTIF(Дела!$A:$A,ROW()-1)&gt;0,VLOOKUP(ROW()-1,Дела!$A:$M,13,0),"")</f>
        <v>9799578.4499999993</v>
      </c>
      <c r="G196" s="13">
        <f>IF(COUNTIF(Дела!$A:$A,ROW()-1)&gt;0,VLOOKUP(ROW()-1,Дела!$A:$N,14,0),"")</f>
        <v>45344</v>
      </c>
      <c r="H196" s="11" t="str">
        <f>IF(COUNTIF(Дела!$A:$A,ROW()-1)&gt;0,VLOOKUP(ROW()-1,Дела!$A:$K,11,0),"")</f>
        <v>Огиенко Владимир Петрович</v>
      </c>
    </row>
    <row r="197" spans="1:8" ht="60" x14ac:dyDescent="0.25">
      <c r="A197" s="11" t="str">
        <f>IF(COUNTIF(Дела!$A:$A,ROW()-1)&gt;0,VLOOKUP(ROW()-1,Дела!$A:$C,3,0),"")</f>
        <v>+7 (495) 230-65-50_x000D_
+7 (925) 208-28-56</v>
      </c>
      <c r="B197" s="11" t="str">
        <f>IF(COUNTIF(Дела!$A:$A,ROW()-1)&gt;0,VLOOKUP(ROW()-1,Дела!$A:$F,6,0),"")</f>
        <v>А41-14818/2024</v>
      </c>
      <c r="C197" s="11" t="str">
        <f>IF(COUNTIF(Дела!$A:$A,ROW()-1)&gt;0,VLOOKUP(ROW()-1,Дела!$A:$G,7,0),"")</f>
        <v>АО "Мосэнергосбыт"</v>
      </c>
      <c r="D197" s="11" t="str">
        <f>IF(COUNTIF(Дела!$A:$A,ROW()-1)&gt;0,VLOOKUP(ROW()-1,Дела!$A:$I,9,0),"")</f>
        <v>ЗАО "Лагуна-Грин"</v>
      </c>
      <c r="E197" s="11" t="str">
        <f t="shared" si="3"/>
        <v>Элина Ахмедхановна</v>
      </c>
      <c r="F197" s="12">
        <f>IF(COUNTIF(Дела!$A:$A,ROW()-1)&gt;0,VLOOKUP(ROW()-1,Дела!$A:$M,13,0),"")</f>
        <v>1229382.22</v>
      </c>
      <c r="G197" s="13">
        <f>IF(COUNTIF(Дела!$A:$A,ROW()-1)&gt;0,VLOOKUP(ROW()-1,Дела!$A:$N,14,0),"")</f>
        <v>45344</v>
      </c>
      <c r="H197" s="11" t="str">
        <f>IF(COUNTIF(Дела!$A:$A,ROW()-1)&gt;0,VLOOKUP(ROW()-1,Дела!$A:$K,11,0),"")</f>
        <v>Суббота Элина Ахмедхановна</v>
      </c>
    </row>
    <row r="198" spans="1:8" ht="409.5" x14ac:dyDescent="0.25">
      <c r="A198" s="11" t="str">
        <f>IF(COUNTIF(Дела!$A:$A,ROW()-1)&gt;0,VLOOKUP(ROW()-1,Дела!$A:$C,3,0),"")</f>
        <v>+7 (495) 540-84-25_x000D_
+7 (495) 428-44-30, доб 2831_x000D_
+7 (495) 428-44-30, доб 2358_x000D_
+7 (495) 994-10-77_x000D_
+7 (495) 540-84-25, доб 5110_x000D_
+7 (495) 775-90-90_x000D_
+7 (495) 777-77-77_x000D_
+7 (495) 540-84-55_x000D_
+7 (498) 526-32-65_x000D_
+7 (926) 361-57-51_x000D_
+7 (4967) 70-52-38_x000D_
+7 (495) 540-84-25, доб 5410_x000D_
+7 (926) 407-30-66_x000D_
+7 (49653) 5-84-99_x000D_
+7 (495) 451-92-36_x000D_
+7 (4967) 75-09-19_x000D_
+7 (4967) 75-08-67_x000D_
+7 (4967) 75-43-38_x000D_
+7 (495) 540-84-25, доб 5310_x000D_
+7 (495) 933-38-70_x000D_
+7 (925) 360-89-20_x000D_
+7 (495) 540-84-25, доб 105_x000D_
+7 (49654) 1-26-50_x000D_
+7 (966) 775-09-19_x000D_
+7 (49654) 9-23-53_x000D_
+7 (495) 542-66-85_x000D_
+7 (495) 985-41-78_x000D_
+7 (495) 985-47-88_x000D_
+7 (495) 540-84-25, доб 5611_x000D_
+7 (495) 540-84-25, доб 5613_x000D_
+7 (926) 360-89-20_x000D_
+7 (495) 361-37-82_x000D_
+7 (495) 495-01-45_x000D_
+7 (495) 993-38-70_x000D_
+7 (4967) 75-09-05_x000D_
+7 (495) 542-36-56_x000D_
+7 (49654) 7-17-40_x000D_
+7 (4967) 76-09-19, доб 160_x000D_
+7 (926) 410-80-01_x000D_
+7 (495) 540-84-25, доб 541_x000D_
+7 (495) 540-84-22_x000D_
+7 (903) 756-91-81_x000D_
+7 (495) 757-59-95_x000D_
+7 (495) 428-44-30, доб 2832_x000D_
+7 (984) 165-96-31_x000D_
+7 (495) 547-48-79_x000D_
+7 (495) 985-48-78_x000D_
+7 (495) 111-11-11_x000D_
+7 (926) 367-05-48_x000D_
+7 (49654) 5-40-84, доб 25_x000D_
+7 (926) 361-56-59_x000D_
+7 (926) 361-37-82_x000D_
+7 (495) 548-57-95_x000D_
+7 (495) 540-84-25, доб 5610_x000D_
+7 (495) 775-09-19_x000D_
+7 (49624) 5-88-09_x000D_
+7 (49654) 9-23-62_x000D_
+7 (49653) 5-85-05_x000D_
+7 (926) 361-37-80_x000D_
+7 (4967) 77-09-19_x000D_
+7 (4967) 77-77-77_x000D_
+7 (49624) 5-22-09_x000D_
+7 (49654) 0-84-25_x000D_
+7 (49654) 9-23-48_x000D_
+7 (49654) 0-84-25, доб 5410_x000D_
+7 (495) 540-88-25_x000D_
+7 (495) 555-75-00_x000D_
+7 (49653) 5-33-55_x000D_
+7 (499) 555-77-99_x000D_
+7 (910) 202-80-08_x000D_
+7 (4967) 35-57-83_x000D_
+7 (49644) 4-44-44_x000D_
+7 (977) 947-04-45_x000D_
+7 (495) 540-54-25_x000D_
+7 (495) 540-84-85_x000D_
+7 (49654) 0-84-16_x000D_
+7 (495) 965-41-22_x000D_
+7 (49653) 5-85-03_x000D_
+7 (4967) 75-02-01_x000D_
+7 (4967) 39-54-74_x000D_
+7 (49653) 5-26-63_x000D_
+7 (495) 428-44-30_x000D_
+7 (4967) 75-09-23_x000D_
+7 (495) 535-84-99_x000D_
+7 (4967) 39-56-74_x000D_
+7 (967) 121-25-56, доб 55_x000D_
+7 (4967) 75-09-32</v>
      </c>
      <c r="B198" s="11" t="str">
        <f>IF(COUNTIF(Дела!$A:$A,ROW()-1)&gt;0,VLOOKUP(ROW()-1,Дела!$A:$F,6,0),"")</f>
        <v>А41-14831/2024</v>
      </c>
      <c r="C198" s="11" t="str">
        <f>IF(COUNTIF(Дела!$A:$A,ROW()-1)&gt;0,VLOOKUP(ROW()-1,Дела!$A:$G,7,0),"")</f>
        <v>АО "Мосэнергосбыт"</v>
      </c>
      <c r="D198" s="11" t="str">
        <f>IF(COUNTIF(Дела!$A:$A,ROW()-1)&gt;0,VLOOKUP(ROW()-1,Дела!$A:$I,9,0),"")</f>
        <v>ООО "Газпром Теплоэнерго МО"</v>
      </c>
      <c r="E198" s="11" t="str">
        <f t="shared" si="3"/>
        <v>Игорь Васильевич</v>
      </c>
      <c r="F198" s="12">
        <f>IF(COUNTIF(Дела!$A:$A,ROW()-1)&gt;0,VLOOKUP(ROW()-1,Дела!$A:$M,13,0),"")</f>
        <v>2195843.2000000002</v>
      </c>
      <c r="G198" s="13">
        <f>IF(COUNTIF(Дела!$A:$A,ROW()-1)&gt;0,VLOOKUP(ROW()-1,Дела!$A:$N,14,0),"")</f>
        <v>45344</v>
      </c>
      <c r="H198" s="11" t="str">
        <f>IF(COUNTIF(Дела!$A:$A,ROW()-1)&gt;0,VLOOKUP(ROW()-1,Дела!$A:$K,11,0),"")</f>
        <v>Антонов Игорь Васильевич</v>
      </c>
    </row>
    <row r="199" spans="1:8" ht="45" x14ac:dyDescent="0.25">
      <c r="A199" s="11" t="str">
        <f>IF(COUNTIF(Дела!$A:$A,ROW()-1)&gt;0,VLOOKUP(ROW()-1,Дела!$A:$C,3,0),"")</f>
        <v>+7 (926) 253-85-76</v>
      </c>
      <c r="B199" s="11" t="str">
        <f>IF(COUNTIF(Дела!$A:$A,ROW()-1)&gt;0,VLOOKUP(ROW()-1,Дела!$A:$F,6,0),"")</f>
        <v>А41-14841/2024</v>
      </c>
      <c r="C199" s="11" t="str">
        <f>IF(COUNTIF(Дела!$A:$A,ROW()-1)&gt;0,VLOOKUP(ROW()-1,Дела!$A:$G,7,0),"")</f>
        <v>АО "Мосэнергосбыт"</v>
      </c>
      <c r="D199" s="11" t="str">
        <f>IF(COUNTIF(Дела!$A:$A,ROW()-1)&gt;0,VLOOKUP(ROW()-1,Дела!$A:$I,9,0),"")</f>
        <v>СНТ "Покровские Дачи"</v>
      </c>
      <c r="E199" s="11" t="str">
        <f t="shared" si="3"/>
        <v>Ольга Николаевна</v>
      </c>
      <c r="F199" s="12">
        <f>IF(COUNTIF(Дела!$A:$A,ROW()-1)&gt;0,VLOOKUP(ROW()-1,Дела!$A:$M,13,0),"")</f>
        <v>1126592.68</v>
      </c>
      <c r="G199" s="13">
        <f>IF(COUNTIF(Дела!$A:$A,ROW()-1)&gt;0,VLOOKUP(ROW()-1,Дела!$A:$N,14,0),"")</f>
        <v>45344</v>
      </c>
      <c r="H199" s="11" t="str">
        <f>IF(COUNTIF(Дела!$A:$A,ROW()-1)&gt;0,VLOOKUP(ROW()-1,Дела!$A:$K,11,0),"")</f>
        <v>Брындина Ольга Николаевна</v>
      </c>
    </row>
    <row r="200" spans="1:8" ht="60" x14ac:dyDescent="0.25">
      <c r="A200" s="11" t="str">
        <f>IF(COUNTIF(Дела!$A:$A,ROW()-1)&gt;0,VLOOKUP(ROW()-1,Дела!$A:$C,3,0),"")</f>
        <v>+7 (495) 150-69-75_x000D_
+7 (903) 978-77-66</v>
      </c>
      <c r="B200" s="11" t="str">
        <f>IF(COUNTIF(Дела!$A:$A,ROW()-1)&gt;0,VLOOKUP(ROW()-1,Дела!$A:$F,6,0),"")</f>
        <v>А40-35272/2024</v>
      </c>
      <c r="C200" s="11" t="str">
        <f>IF(COUNTIF(Дела!$A:$A,ROW()-1)&gt;0,VLOOKUP(ROW()-1,Дела!$A:$G,7,0),"")</f>
        <v>ООО "А Групп"</v>
      </c>
      <c r="D200" s="11" t="str">
        <f>IF(COUNTIF(Дела!$A:$A,ROW()-1)&gt;0,VLOOKUP(ROW()-1,Дела!$A:$I,9,0),"")</f>
        <v>ООО "РСК"</v>
      </c>
      <c r="E200" s="11" t="str">
        <f t="shared" si="3"/>
        <v>Борис Владиславович</v>
      </c>
      <c r="F200" s="12">
        <f>IF(COUNTIF(Дела!$A:$A,ROW()-1)&gt;0,VLOOKUP(ROW()-1,Дела!$A:$M,13,0),"")</f>
        <v>1387506.29</v>
      </c>
      <c r="G200" s="13">
        <f>IF(COUNTIF(Дела!$A:$A,ROW()-1)&gt;0,VLOOKUP(ROW()-1,Дела!$A:$N,14,0),"")</f>
        <v>45343</v>
      </c>
      <c r="H200" s="11" t="str">
        <f>IF(COUNTIF(Дела!$A:$A,ROW()-1)&gt;0,VLOOKUP(ROW()-1,Дела!$A:$K,11,0),"")</f>
        <v>Сакун Борис Владиславович</v>
      </c>
    </row>
    <row r="201" spans="1:8" ht="45" x14ac:dyDescent="0.25">
      <c r="A201" s="11" t="str">
        <f>IF(COUNTIF(Дела!$A:$A,ROW()-1)&gt;0,VLOOKUP(ROW()-1,Дела!$A:$C,3,0),"")</f>
        <v>+7 (49634) 3-18-60</v>
      </c>
      <c r="B201" s="11" t="str">
        <f>IF(COUNTIF(Дела!$A:$A,ROW()-1)&gt;0,VLOOKUP(ROW()-1,Дела!$A:$F,6,0),"")</f>
        <v>А41-14827/2024</v>
      </c>
      <c r="C201" s="11" t="str">
        <f>IF(COUNTIF(Дела!$A:$A,ROW()-1)&gt;0,VLOOKUP(ROW()-1,Дела!$A:$G,7,0),"")</f>
        <v>АО "Мосэнергосбыт"</v>
      </c>
      <c r="D201" s="11" t="str">
        <f>IF(COUNTIF(Дела!$A:$A,ROW()-1)&gt;0,VLOOKUP(ROW()-1,Дела!$A:$I,9,0),"")</f>
        <v>КИЗ "Лиман"</v>
      </c>
      <c r="E201" s="11" t="str">
        <f t="shared" si="3"/>
        <v>Виктор Давыдович</v>
      </c>
      <c r="F201" s="12">
        <f>IF(COUNTIF(Дела!$A:$A,ROW()-1)&gt;0,VLOOKUP(ROW()-1,Дела!$A:$M,13,0),"")</f>
        <v>995602.05</v>
      </c>
      <c r="G201" s="13">
        <f>IF(COUNTIF(Дела!$A:$A,ROW()-1)&gt;0,VLOOKUP(ROW()-1,Дела!$A:$N,14,0),"")</f>
        <v>45344</v>
      </c>
      <c r="H201" s="11" t="str">
        <f>IF(COUNTIF(Дела!$A:$A,ROW()-1)&gt;0,VLOOKUP(ROW()-1,Дела!$A:$K,11,0),"")</f>
        <v>Лейман Виктор Давыдович</v>
      </c>
    </row>
    <row r="202" spans="1:8" ht="45" x14ac:dyDescent="0.25">
      <c r="A202" s="11">
        <f>IF(COUNTIF(Дела!$A:$A,ROW()-1)&gt;0,VLOOKUP(ROW()-1,Дела!$A:$C,3,0),"")</f>
        <v>0</v>
      </c>
      <c r="B202" s="11" t="str">
        <f>IF(COUNTIF(Дела!$A:$A,ROW()-1)&gt;0,VLOOKUP(ROW()-1,Дела!$A:$F,6,0),"")</f>
        <v>А41-14844/2024</v>
      </c>
      <c r="C202" s="11" t="str">
        <f>IF(COUNTIF(Дела!$A:$A,ROW()-1)&gt;0,VLOOKUP(ROW()-1,Дела!$A:$G,7,0),"")</f>
        <v>АО "Мосэнергосбыт"</v>
      </c>
      <c r="D202" s="11" t="str">
        <f>IF(COUNTIF(Дела!$A:$A,ROW()-1)&gt;0,VLOOKUP(ROW()-1,Дела!$A:$I,9,0),"")</f>
        <v>СНТ "Ларюшино-2"</v>
      </c>
      <c r="E202" s="11" t="str">
        <f t="shared" si="3"/>
        <v>Сергей Владимирович</v>
      </c>
      <c r="F202" s="12">
        <f>IF(COUNTIF(Дела!$A:$A,ROW()-1)&gt;0,VLOOKUP(ROW()-1,Дела!$A:$M,13,0),"")</f>
        <v>2362181.13</v>
      </c>
      <c r="G202" s="13">
        <f>IF(COUNTIF(Дела!$A:$A,ROW()-1)&gt;0,VLOOKUP(ROW()-1,Дела!$A:$N,14,0),"")</f>
        <v>45344</v>
      </c>
      <c r="H202" s="11" t="str">
        <f>IF(COUNTIF(Дела!$A:$A,ROW()-1)&gt;0,VLOOKUP(ROW()-1,Дела!$A:$K,11,0),"")</f>
        <v>Акимов Сергей Владимирович</v>
      </c>
    </row>
    <row r="203" spans="1:8" ht="45" x14ac:dyDescent="0.25">
      <c r="A203" s="11">
        <f>IF(COUNTIF(Дела!$A:$A,ROW()-1)&gt;0,VLOOKUP(ROW()-1,Дела!$A:$C,3,0),"")</f>
        <v>0</v>
      </c>
      <c r="B203" s="11" t="str">
        <f>IF(COUNTIF(Дела!$A:$A,ROW()-1)&gt;0,VLOOKUP(ROW()-1,Дела!$A:$F,6,0),"")</f>
        <v>А41-14849/2024</v>
      </c>
      <c r="C203" s="11" t="str">
        <f>IF(COUNTIF(Дела!$A:$A,ROW()-1)&gt;0,VLOOKUP(ROW()-1,Дела!$A:$G,7,0),"")</f>
        <v>АО "Мосэнергосбыт"</v>
      </c>
      <c r="D203" s="11" t="str">
        <f>IF(COUNTIF(Дела!$A:$A,ROW()-1)&gt;0,VLOOKUP(ROW()-1,Дела!$A:$I,9,0),"")</f>
        <v>СНТ "Восход-3"</v>
      </c>
      <c r="E203" s="11" t="str">
        <f t="shared" si="3"/>
        <v>Олег Владимирович</v>
      </c>
      <c r="F203" s="12">
        <f>IF(COUNTIF(Дела!$A:$A,ROW()-1)&gt;0,VLOOKUP(ROW()-1,Дела!$A:$M,13,0),"")</f>
        <v>618568.11</v>
      </c>
      <c r="G203" s="13">
        <f>IF(COUNTIF(Дела!$A:$A,ROW()-1)&gt;0,VLOOKUP(ROW()-1,Дела!$A:$N,14,0),"")</f>
        <v>45344</v>
      </c>
      <c r="H203" s="11" t="str">
        <f>IF(COUNTIF(Дела!$A:$A,ROW()-1)&gt;0,VLOOKUP(ROW()-1,Дела!$A:$K,11,0),"")</f>
        <v>Алексеев Олег Владимирович</v>
      </c>
    </row>
    <row r="204" spans="1:8" ht="30" x14ac:dyDescent="0.25">
      <c r="A204" s="11">
        <f>IF(COUNTIF(Дела!$A:$A,ROW()-1)&gt;0,VLOOKUP(ROW()-1,Дела!$A:$C,3,0),"")</f>
        <v>0</v>
      </c>
      <c r="B204" s="11" t="str">
        <f>IF(COUNTIF(Дела!$A:$A,ROW()-1)&gt;0,VLOOKUP(ROW()-1,Дела!$A:$F,6,0),"")</f>
        <v>А40-36957/2024</v>
      </c>
      <c r="C204" s="11" t="str">
        <f>IF(COUNTIF(Дела!$A:$A,ROW()-1)&gt;0,VLOOKUP(ROW()-1,Дела!$A:$G,7,0),"")</f>
        <v>ООО "Пегас"</v>
      </c>
      <c r="D204" s="11" t="str">
        <f>IF(COUNTIF(Дела!$A:$A,ROW()-1)&gt;0,VLOOKUP(ROW()-1,Дела!$A:$I,9,0),"")</f>
        <v>ООО "Фарос Консалт"</v>
      </c>
      <c r="E204" s="11" t="str">
        <f t="shared" si="3"/>
        <v>Мария Владимировна</v>
      </c>
      <c r="F204" s="12">
        <f>IF(COUNTIF(Дела!$A:$A,ROW()-1)&gt;0,VLOOKUP(ROW()-1,Дела!$A:$M,13,0),"")</f>
        <v>5039844.78</v>
      </c>
      <c r="G204" s="13">
        <f>IF(COUNTIF(Дела!$A:$A,ROW()-1)&gt;0,VLOOKUP(ROW()-1,Дела!$A:$N,14,0),"")</f>
        <v>45344</v>
      </c>
      <c r="H204" s="11" t="str">
        <f>IF(COUNTIF(Дела!$A:$A,ROW()-1)&gt;0,VLOOKUP(ROW()-1,Дела!$A:$K,11,0),"")</f>
        <v>Турчина Мария Владимировна</v>
      </c>
    </row>
    <row r="205" spans="1:8" ht="120" x14ac:dyDescent="0.25">
      <c r="A205" s="11" t="str">
        <f>IF(COUNTIF(Дела!$A:$A,ROW()-1)&gt;0,VLOOKUP(ROW()-1,Дела!$A:$C,3,0),"")</f>
        <v>+7 (495) 773-09-95_x000D_
+7 (499) 999-13-13_x000D_
+7 (985) 731-79-09_x000D_
+7 (985) 185-22-25</v>
      </c>
      <c r="B205" s="11" t="str">
        <f>IF(COUNTIF(Дела!$A:$A,ROW()-1)&gt;0,VLOOKUP(ROW()-1,Дела!$A:$F,6,0),"")</f>
        <v>А40-36922/2024</v>
      </c>
      <c r="C205" s="11" t="str">
        <f>IF(COUNTIF(Дела!$A:$A,ROW()-1)&gt;0,VLOOKUP(ROW()-1,Дела!$A:$G,7,0),"")</f>
        <v>ООО "Фирма РСУ 15"</v>
      </c>
      <c r="D205" s="11" t="str">
        <f>IF(COUNTIF(Дела!$A:$A,ROW()-1)&gt;0,VLOOKUP(ROW()-1,Дела!$A:$I,9,0),"")</f>
        <v>ООО "Эксперт"</v>
      </c>
      <c r="E205" s="11" t="str">
        <f t="shared" si="3"/>
        <v>Галина Михайловна</v>
      </c>
      <c r="F205" s="12">
        <f>IF(COUNTIF(Дела!$A:$A,ROW()-1)&gt;0,VLOOKUP(ROW()-1,Дела!$A:$M,13,0),"")</f>
        <v>5763819.5700000003</v>
      </c>
      <c r="G205" s="13">
        <f>IF(COUNTIF(Дела!$A:$A,ROW()-1)&gt;0,VLOOKUP(ROW()-1,Дела!$A:$N,14,0),"")</f>
        <v>45344</v>
      </c>
      <c r="H205" s="11" t="str">
        <f>IF(COUNTIF(Дела!$A:$A,ROW()-1)&gt;0,VLOOKUP(ROW()-1,Дела!$A:$K,11,0),"")</f>
        <v>Пенягина Галина Михайловна</v>
      </c>
    </row>
    <row r="206" spans="1:8" ht="360" x14ac:dyDescent="0.25">
      <c r="A206" s="11" t="str">
        <f>IF(COUNTIF(Дела!$A:$A,ROW()-1)&gt;0,VLOOKUP(ROW()-1,Дела!$A:$C,3,0),"")</f>
        <v>+7 (495) 634-11-38_x000D_
+7 (495) 634-03-52_x000D_
+7 (495) 111-11-11_x000D_
+7 (495) 222-96-30_x000D_
+7 (495) 564-87-43_x000D_
+7 (495) 634-03-54_x000D_
+7 (495) 637-60-27_x000D_
+7 (495) 634-03-53_x000D_
+7 (495) 345-73-00_x000D_
+7 (495) 634-14-36_x000D_
+7 (926) 263-77-33_x000D_
+7 (495) 000-00-00</v>
      </c>
      <c r="B206" s="11" t="str">
        <f>IF(COUNTIF(Дела!$A:$A,ROW()-1)&gt;0,VLOOKUP(ROW()-1,Дела!$A:$F,6,0),"")</f>
        <v>А41-14861/2024</v>
      </c>
      <c r="C206" s="11" t="str">
        <f>IF(COUNTIF(Дела!$A:$A,ROW()-1)&gt;0,VLOOKUP(ROW()-1,Дела!$A:$G,7,0),"")</f>
        <v>АО "Мосэнергосбыт"</v>
      </c>
      <c r="D206" s="11" t="str">
        <f>IF(COUNTIF(Дела!$A:$A,ROW()-1)&gt;0,VLOOKUP(ROW()-1,Дела!$A:$I,9,0),"")</f>
        <v>МУП "ЖКХ Назарьево"</v>
      </c>
      <c r="E206" s="11" t="str">
        <f t="shared" si="3"/>
        <v>Иван Владимирович</v>
      </c>
      <c r="F206" s="12">
        <f>IF(COUNTIF(Дела!$A:$A,ROW()-1)&gt;0,VLOOKUP(ROW()-1,Дела!$A:$M,13,0),"")</f>
        <v>1751051.63</v>
      </c>
      <c r="G206" s="13">
        <f>IF(COUNTIF(Дела!$A:$A,ROW()-1)&gt;0,VLOOKUP(ROW()-1,Дела!$A:$N,14,0),"")</f>
        <v>45344</v>
      </c>
      <c r="H206" s="11" t="str">
        <f>IF(COUNTIF(Дела!$A:$A,ROW()-1)&gt;0,VLOOKUP(ROW()-1,Дела!$A:$K,11,0),"")</f>
        <v>Чижов Иван Владимирович</v>
      </c>
    </row>
    <row r="207" spans="1:8" ht="45" x14ac:dyDescent="0.25">
      <c r="A207" s="11" t="str">
        <f>IF(COUNTIF(Дела!$A:$A,ROW()-1)&gt;0,VLOOKUP(ROW()-1,Дела!$A:$C,3,0),"")</f>
        <v>+7 (4967) 44-14-01</v>
      </c>
      <c r="B207" s="11" t="str">
        <f>IF(COUNTIF(Дела!$A:$A,ROW()-1)&gt;0,VLOOKUP(ROW()-1,Дела!$A:$F,6,0),"")</f>
        <v>А41-14863/2024</v>
      </c>
      <c r="C207" s="11" t="str">
        <f>IF(COUNTIF(Дела!$A:$A,ROW()-1)&gt;0,VLOOKUP(ROW()-1,Дела!$A:$G,7,0),"")</f>
        <v>АО "Мосэнергосбыт"</v>
      </c>
      <c r="D207" s="11" t="str">
        <f>IF(COUNTIF(Дела!$A:$A,ROW()-1)&gt;0,VLOOKUP(ROW()-1,Дела!$A:$I,9,0),"")</f>
        <v>ООО "Еврострой-Тара"</v>
      </c>
      <c r="E207" s="11" t="str">
        <f t="shared" si="3"/>
        <v>Александр Николаевич</v>
      </c>
      <c r="F207" s="12">
        <f>IF(COUNTIF(Дела!$A:$A,ROW()-1)&gt;0,VLOOKUP(ROW()-1,Дела!$A:$M,13,0),"")</f>
        <v>1382984.48</v>
      </c>
      <c r="G207" s="13">
        <f>IF(COUNTIF(Дела!$A:$A,ROW()-1)&gt;0,VLOOKUP(ROW()-1,Дела!$A:$N,14,0),"")</f>
        <v>45344</v>
      </c>
      <c r="H207" s="11" t="str">
        <f>IF(COUNTIF(Дела!$A:$A,ROW()-1)&gt;0,VLOOKUP(ROW()-1,Дела!$A:$K,11,0),"")</f>
        <v>Холод Александр Николаевич</v>
      </c>
    </row>
    <row r="208" spans="1:8" ht="30" x14ac:dyDescent="0.25">
      <c r="A208" s="11" t="str">
        <f>IF(COUNTIF(Дела!$A:$A,ROW()-1)&gt;0,VLOOKUP(ROW()-1,Дела!$A:$C,3,0),"")</f>
        <v>+7 (495) 782-15-00</v>
      </c>
      <c r="B208" s="11" t="str">
        <f>IF(COUNTIF(Дела!$A:$A,ROW()-1)&gt;0,VLOOKUP(ROW()-1,Дела!$A:$F,6,0),"")</f>
        <v>А40-36575/2024</v>
      </c>
      <c r="C208" s="11" t="str">
        <f>IF(COUNTIF(Дела!$A:$A,ROW()-1)&gt;0,VLOOKUP(ROW()-1,Дела!$A:$G,7,0),"")</f>
        <v>ООО "БСТ-Групп"</v>
      </c>
      <c r="D208" s="11" t="str">
        <f>IF(COUNTIF(Дела!$A:$A,ROW()-1)&gt;0,VLOOKUP(ROW()-1,Дела!$A:$I,9,0),"")</f>
        <v>ООО "Небоскреб Групп"</v>
      </c>
      <c r="E208" s="11" t="str">
        <f t="shared" si="3"/>
        <v>Наталья Викторовна</v>
      </c>
      <c r="F208" s="12">
        <f>IF(COUNTIF(Дела!$A:$A,ROW()-1)&gt;0,VLOOKUP(ROW()-1,Дела!$A:$M,13,0),"")</f>
        <v>1854020</v>
      </c>
      <c r="G208" s="13">
        <f>IF(COUNTIF(Дела!$A:$A,ROW()-1)&gt;0,VLOOKUP(ROW()-1,Дела!$A:$N,14,0),"")</f>
        <v>45344</v>
      </c>
      <c r="H208" s="11" t="str">
        <f>IF(COUNTIF(Дела!$A:$A,ROW()-1)&gt;0,VLOOKUP(ROW()-1,Дела!$A:$K,11,0),"")</f>
        <v>Пичугина Наталья Викторовна</v>
      </c>
    </row>
    <row r="209" spans="1:8" ht="240" x14ac:dyDescent="0.25">
      <c r="A209" s="11" t="str">
        <f>IF(COUNTIF(Дела!$A:$A,ROW()-1)&gt;0,VLOOKUP(ROW()-1,Дела!$A:$C,3,0),"")</f>
        <v>+7 (495) 628-47-48_x000D_
+7 (495) 628-62-45_x000D_
+7 (495) 625-55-49_x000D_
+7 (495) 628-57-93_x000D_
+7 (495) 928-47-48_x000D_
+7 (495) 279-56-38_x000D_
+7 (495) 528-06-54_x000D_
+7 (495) 626-62-45</v>
      </c>
      <c r="B209" s="11" t="str">
        <f>IF(COUNTIF(Дела!$A:$A,ROW()-1)&gt;0,VLOOKUP(ROW()-1,Дела!$A:$F,6,0),"")</f>
        <v>А40-36571/2024</v>
      </c>
      <c r="C209" s="11" t="str">
        <f>IF(COUNTIF(Дела!$A:$A,ROW()-1)&gt;0,VLOOKUP(ROW()-1,Дела!$A:$G,7,0),"")</f>
        <v>ООО "Гидрафлекс 24"</v>
      </c>
      <c r="D209" s="11" t="str">
        <f>IF(COUNTIF(Дела!$A:$A,ROW()-1)&gt;0,VLOOKUP(ROW()-1,Дела!$A:$I,9,0),"")</f>
        <v>АО "ЦДС"</v>
      </c>
      <c r="E209" s="11" t="str">
        <f t="shared" si="3"/>
        <v>Дмитрий Сергеевич</v>
      </c>
      <c r="F209" s="12">
        <f>IF(COUNTIF(Дела!$A:$A,ROW()-1)&gt;0,VLOOKUP(ROW()-1,Дела!$A:$M,13,0),"")</f>
        <v>663726</v>
      </c>
      <c r="G209" s="13">
        <f>IF(COUNTIF(Дела!$A:$A,ROW()-1)&gt;0,VLOOKUP(ROW()-1,Дела!$A:$N,14,0),"")</f>
        <v>45344</v>
      </c>
      <c r="H209" s="11" t="str">
        <f>IF(COUNTIF(Дела!$A:$A,ROW()-1)&gt;0,VLOOKUP(ROW()-1,Дела!$A:$K,11,0),"")</f>
        <v>Теплинский Дмитрий Сергеевич</v>
      </c>
    </row>
    <row r="210" spans="1:8" ht="409.5" x14ac:dyDescent="0.25">
      <c r="A210" s="11" t="str">
        <f>IF(COUNTIF(Дела!$A:$A,ROW()-1)&gt;0,VLOOKUP(ROW()-1,Дела!$A:$C,3,0),"")</f>
        <v>+7 (499) 157-55-28_x000D_
+7 (495) 556-56-39_x000D_
+7 (495) 943-41-21_x000D_
+7 (495) 943-80-90_x000D_
+7 (495) 943-81-21_x000D_
+7 (495) 943-84-12_x000D_
+7 (499) 943-80-21_x000D_
+7 (499) 943-80-84_x000D_
+7 (499) 943-80-90_x000D_
+7 (499) 943-81-17_x000D_
+7 (499) 943-81-21_x000D_
+7 (499) 943-82-62_x000D_
+7 (499) 943-82-64_x000D_
+7 (499) 943-82-75_x000D_
+7 (499) 943-82-85_x000D_
+7 (499) 943-84-00_x000D_
+7 (499) 943-84-80_x000D_
+7 (495) 943-81-16_x000D_
+7 (499) 943-81-12_x000D_
+7 (495) 943-82-62_x000D_
+7 (499) 943-80-40_x000D_
+7 (495) 020-00-00_x000D_
+7 (499) 943-81-60_x000D_
+7 (499) 943-82-87_x000D_
+7 (499) 943-82-74_x000D_
+7 (499) 653-51-99_x000D_
+7 (499) 943-81-48_x000D_
+7 (495) 926-14-20_x000D_
+7 (4732) 44-88-00_x000D_
+7 (4732) 44-89-18_x000D_
+7 (4732) 49-94-39_x000D_
+7 (4732) 49-91-11_x000D_
+7 (4732) 48-84-87_x000D_
+7 (4732) 44-85-04_x000D_
+7 (495) 000-00-10_x000D_
+7 (8422) 28-78-29_x000D_
+7 (4732) 44-86-66_x000D_
+7 (3473) 24-88-77, доб 8_x000D_
+7 (4732) 44-89-81_x000D_
+7 (4732) 44-87-03_x000D_
+7 (4732) 49-57-89_x000D_
+7 (3473) 24-88-49, доб 2_x000D_
+7 (4732) 49-94-13_x000D_
+7 (495) 943-81-48_x000D_
+7 (3473) 24-48-98, доб 1_x000D_
+7 (495) 612-21-32_x000D_
+7 (495) 934-84-00_x000D_
+7 (4732) 24-86-66_x000D_
+7 (499) 000-00-10_x000D_
+7 (4732) 44-85-01_x000D_
+7 (8422) 28-10-22_x000D_
+7 (495) 664-76-76_x000D_
+7 (495) 943-80-40_x000D_
+7 (495) 557-49-99_x000D_
+7 (499) 943-83-30_x000D_
+7 (495) 943-82-75_x000D_
+7 (915) 384-35-40</v>
      </c>
      <c r="B210" s="11" t="str">
        <f>IF(COUNTIF(Дела!$A:$A,ROW()-1)&gt;0,VLOOKUP(ROW()-1,Дела!$A:$F,6,0),"")</f>
        <v>А40-36553/2024</v>
      </c>
      <c r="C210" s="11" t="str">
        <f>IF(COUNTIF(Дела!$A:$A,ROW()-1)&gt;0,VLOOKUP(ROW()-1,Дела!$A:$G,7,0),"")</f>
        <v>АО "УАП "Гидравлика"</v>
      </c>
      <c r="D210" s="11" t="str">
        <f>IF(COUNTIF(Дела!$A:$A,ROW()-1)&gt;0,VLOOKUP(ROW()-1,Дела!$A:$I,9,0),"")</f>
        <v>ПАО "ИЛ"</v>
      </c>
      <c r="E210" s="11" t="str">
        <f t="shared" si="3"/>
        <v/>
      </c>
      <c r="F210" s="12">
        <f>IF(COUNTIF(Дела!$A:$A,ROW()-1)&gt;0,VLOOKUP(ROW()-1,Дела!$A:$M,13,0),"")</f>
        <v>1962330.52</v>
      </c>
      <c r="G210" s="13">
        <f>IF(COUNTIF(Дела!$A:$A,ROW()-1)&gt;0,VLOOKUP(ROW()-1,Дела!$A:$N,14,0),"")</f>
        <v>45344</v>
      </c>
      <c r="H210" s="11" t="str">
        <f>IF(COUNTIF(Дела!$A:$A,ROW()-1)&gt;0,VLOOKUP(ROW()-1,Дела!$A:$K,11,0),"")</f>
        <v/>
      </c>
    </row>
    <row r="211" spans="1:8" ht="409.5" x14ac:dyDescent="0.25">
      <c r="A211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211" s="11" t="str">
        <f>IF(COUNTIF(Дела!$A:$A,ROW()-1)&gt;0,VLOOKUP(ROW()-1,Дела!$A:$F,6,0),"")</f>
        <v>А40-36545/2024</v>
      </c>
      <c r="C211" s="11" t="str">
        <f>IF(COUNTIF(Дела!$A:$A,ROW()-1)&gt;0,VLOOKUP(ROW()-1,Дела!$A:$G,7,0),"")</f>
        <v>ПАО "Акрон"</v>
      </c>
      <c r="D211" s="11" t="str">
        <f>IF(COUNTIF(Дела!$A:$A,ROW()-1)&gt;0,VLOOKUP(ROW()-1,Дела!$A:$I,9,0),"")</f>
        <v>ОАО "РЖД"</v>
      </c>
      <c r="E211" s="11" t="str">
        <f t="shared" si="3"/>
        <v>Олег Валентинович</v>
      </c>
      <c r="F211" s="12">
        <f>IF(COUNTIF(Дела!$A:$A,ROW()-1)&gt;0,VLOOKUP(ROW()-1,Дела!$A:$M,13,0),"")</f>
        <v>1196616.22</v>
      </c>
      <c r="G211" s="13">
        <f>IF(COUNTIF(Дела!$A:$A,ROW()-1)&gt;0,VLOOKUP(ROW()-1,Дела!$A:$N,14,0),"")</f>
        <v>45344</v>
      </c>
      <c r="H211" s="11" t="str">
        <f>IF(COUNTIF(Дела!$A:$A,ROW()-1)&gt;0,VLOOKUP(ROW()-1,Дела!$A:$K,11,0),"")</f>
        <v>Белозёров Олег Валентинович</v>
      </c>
    </row>
    <row r="212" spans="1:8" ht="45" x14ac:dyDescent="0.25">
      <c r="A212" s="11">
        <f>IF(COUNTIF(Дела!$A:$A,ROW()-1)&gt;0,VLOOKUP(ROW()-1,Дела!$A:$C,3,0),"")</f>
        <v>0</v>
      </c>
      <c r="B212" s="11" t="str">
        <f>IF(COUNTIF(Дела!$A:$A,ROW()-1)&gt;0,VLOOKUP(ROW()-1,Дела!$A:$F,6,0),"")</f>
        <v>А40-36493/2024</v>
      </c>
      <c r="C212" s="11" t="str">
        <f>IF(COUNTIF(Дела!$A:$A,ROW()-1)&gt;0,VLOOKUP(ROW()-1,Дела!$A:$G,7,0),"")</f>
        <v>ООО "Крымпрофсталь"</v>
      </c>
      <c r="D212" s="11" t="str">
        <f>IF(COUNTIF(Дела!$A:$A,ROW()-1)&gt;0,VLOOKUP(ROW()-1,Дела!$A:$I,9,0),"")</f>
        <v>ООО "ТД Металл Полимер"</v>
      </c>
      <c r="E212" s="11" t="str">
        <f t="shared" si="3"/>
        <v>Виталий Анатольевич</v>
      </c>
      <c r="F212" s="12">
        <f>IF(COUNTIF(Дела!$A:$A,ROW()-1)&gt;0,VLOOKUP(ROW()-1,Дела!$A:$M,13,0),"")</f>
        <v>3218264.34</v>
      </c>
      <c r="G212" s="13">
        <f>IF(COUNTIF(Дела!$A:$A,ROW()-1)&gt;0,VLOOKUP(ROW()-1,Дела!$A:$N,14,0),"")</f>
        <v>45344</v>
      </c>
      <c r="H212" s="11" t="str">
        <f>IF(COUNTIF(Дела!$A:$A,ROW()-1)&gt;0,VLOOKUP(ROW()-1,Дела!$A:$K,11,0),"")</f>
        <v>Котов Виталий Анатольевич</v>
      </c>
    </row>
    <row r="213" spans="1:8" ht="30" x14ac:dyDescent="0.25">
      <c r="A213" s="11">
        <f>IF(COUNTIF(Дела!$A:$A,ROW()-1)&gt;0,VLOOKUP(ROW()-1,Дела!$A:$C,3,0),"")</f>
        <v>0</v>
      </c>
      <c r="B213" s="11" t="str">
        <f>IF(COUNTIF(Дела!$A:$A,ROW()-1)&gt;0,VLOOKUP(ROW()-1,Дела!$A:$F,6,0),"")</f>
        <v>А40-36469/2024</v>
      </c>
      <c r="C213" s="11" t="str">
        <f>IF(COUNTIF(Дела!$A:$A,ROW()-1)&gt;0,VLOOKUP(ROW()-1,Дела!$A:$G,7,0),"")</f>
        <v>ООО "Спснаб"</v>
      </c>
      <c r="D213" s="11" t="str">
        <f>IF(COUNTIF(Дела!$A:$A,ROW()-1)&gt;0,VLOOKUP(ROW()-1,Дела!$A:$I,9,0),"")</f>
        <v>ООО"Диамант"</v>
      </c>
      <c r="E213" s="11" t="str">
        <f t="shared" si="3"/>
        <v>Николай Владимирович</v>
      </c>
      <c r="F213" s="12">
        <f>IF(COUNTIF(Дела!$A:$A,ROW()-1)&gt;0,VLOOKUP(ROW()-1,Дела!$A:$M,13,0),"")</f>
        <v>1278368</v>
      </c>
      <c r="G213" s="13">
        <f>IF(COUNTIF(Дела!$A:$A,ROW()-1)&gt;0,VLOOKUP(ROW()-1,Дела!$A:$N,14,0),"")</f>
        <v>45344</v>
      </c>
      <c r="H213" s="11" t="str">
        <f>IF(COUNTIF(Дела!$A:$A,ROW()-1)&gt;0,VLOOKUP(ROW()-1,Дела!$A:$K,11,0),"")</f>
        <v>Карпов Николай Владимирович</v>
      </c>
    </row>
    <row r="214" spans="1:8" ht="30" x14ac:dyDescent="0.25">
      <c r="A214" s="11" t="str">
        <f>IF(COUNTIF(Дела!$A:$A,ROW()-1)&gt;0,VLOOKUP(ROW()-1,Дела!$A:$C,3,0),"")</f>
        <v>+7 (495) 783-68-66</v>
      </c>
      <c r="B214" s="11" t="str">
        <f>IF(COUNTIF(Дела!$A:$A,ROW()-1)&gt;0,VLOOKUP(ROW()-1,Дела!$A:$F,6,0),"")</f>
        <v>А40-36486/2024</v>
      </c>
      <c r="C214" s="11" t="str">
        <f>IF(COUNTIF(Дела!$A:$A,ROW()-1)&gt;0,VLOOKUP(ROW()-1,Дела!$A:$G,7,0),"")</f>
        <v>ООО "Восток-Гео"</v>
      </c>
      <c r="D214" s="11" t="str">
        <f>IF(COUNTIF(Дела!$A:$A,ROW()-1)&gt;0,VLOOKUP(ROW()-1,Дела!$A:$I,9,0),"")</f>
        <v>ООО "Формат"</v>
      </c>
      <c r="E214" s="11" t="str">
        <f t="shared" si="3"/>
        <v>Владислав Иванович</v>
      </c>
      <c r="F214" s="12">
        <f>IF(COUNTIF(Дела!$A:$A,ROW()-1)&gt;0,VLOOKUP(ROW()-1,Дела!$A:$M,13,0),"")</f>
        <v>546102.01</v>
      </c>
      <c r="G214" s="13">
        <f>IF(COUNTIF(Дела!$A:$A,ROW()-1)&gt;0,VLOOKUP(ROW()-1,Дела!$A:$N,14,0),"")</f>
        <v>45344</v>
      </c>
      <c r="H214" s="11" t="str">
        <f>IF(COUNTIF(Дела!$A:$A,ROW()-1)&gt;0,VLOOKUP(ROW()-1,Дела!$A:$K,11,0),"")</f>
        <v>Ефимов Владислав Иванович</v>
      </c>
    </row>
    <row r="215" spans="1:8" ht="409.5" x14ac:dyDescent="0.25">
      <c r="A215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215" s="11" t="str">
        <f>IF(COUNTIF(Дела!$A:$A,ROW()-1)&gt;0,VLOOKUP(ROW()-1,Дела!$A:$F,6,0),"")</f>
        <v>А40-36342/2024</v>
      </c>
      <c r="C215" s="11" t="str">
        <f>IF(COUNTIF(Дела!$A:$A,ROW()-1)&gt;0,VLOOKUP(ROW()-1,Дела!$A:$G,7,0),"")</f>
        <v>АО "РН-Транс"</v>
      </c>
      <c r="D215" s="11" t="str">
        <f>IF(COUNTIF(Дела!$A:$A,ROW()-1)&gt;0,VLOOKUP(ROW()-1,Дела!$A:$I,9,0),"")</f>
        <v>ОАО "РЖД"</v>
      </c>
      <c r="E215" s="11" t="str">
        <f t="shared" si="3"/>
        <v>Олег Валентинович</v>
      </c>
      <c r="F215" s="12">
        <f>IF(COUNTIF(Дела!$A:$A,ROW()-1)&gt;0,VLOOKUP(ROW()-1,Дела!$A:$M,13,0),"")</f>
        <v>5802861.7999999998</v>
      </c>
      <c r="G215" s="13">
        <f>IF(COUNTIF(Дела!$A:$A,ROW()-1)&gt;0,VLOOKUP(ROW()-1,Дела!$A:$N,14,0),"")</f>
        <v>45344</v>
      </c>
      <c r="H215" s="11" t="str">
        <f>IF(COUNTIF(Дела!$A:$A,ROW()-1)&gt;0,VLOOKUP(ROW()-1,Дела!$A:$K,11,0),"")</f>
        <v>Белозёров Олег Валентинович</v>
      </c>
    </row>
    <row r="216" spans="1:8" ht="45" x14ac:dyDescent="0.25">
      <c r="A216" s="11" t="str">
        <f>IF(COUNTIF(Дела!$A:$A,ROW()-1)&gt;0,VLOOKUP(ROW()-1,Дела!$A:$C,3,0),"")</f>
        <v>+7 (926) 521-92-11</v>
      </c>
      <c r="B216" s="11" t="str">
        <f>IF(COUNTIF(Дела!$A:$A,ROW()-1)&gt;0,VLOOKUP(ROW()-1,Дела!$A:$F,6,0),"")</f>
        <v>А41-14876/2024</v>
      </c>
      <c r="C216" s="11" t="str">
        <f>IF(COUNTIF(Дела!$A:$A,ROW()-1)&gt;0,VLOOKUP(ROW()-1,Дела!$A:$G,7,0),"")</f>
        <v>АО "Мосэнергосбыт"</v>
      </c>
      <c r="D216" s="11" t="str">
        <f>IF(COUNTIF(Дела!$A:$A,ROW()-1)&gt;0,VLOOKUP(ROW()-1,Дела!$A:$I,9,0),"")</f>
        <v>СНТ "Березка"</v>
      </c>
      <c r="E216" s="11" t="str">
        <f t="shared" si="3"/>
        <v>Александр Михайлович</v>
      </c>
      <c r="F216" s="12">
        <f>IF(COUNTIF(Дела!$A:$A,ROW()-1)&gt;0,VLOOKUP(ROW()-1,Дела!$A:$M,13,0),"")</f>
        <v>520360.91</v>
      </c>
      <c r="G216" s="13">
        <f>IF(COUNTIF(Дела!$A:$A,ROW()-1)&gt;0,VLOOKUP(ROW()-1,Дела!$A:$N,14,0),"")</f>
        <v>45344</v>
      </c>
      <c r="H216" s="11" t="str">
        <f>IF(COUNTIF(Дела!$A:$A,ROW()-1)&gt;0,VLOOKUP(ROW()-1,Дела!$A:$K,11,0),"")</f>
        <v>Зайцев Александр Михайлович</v>
      </c>
    </row>
    <row r="217" spans="1:8" ht="60" x14ac:dyDescent="0.25">
      <c r="A217" s="11" t="str">
        <f>IF(COUNTIF(Дела!$A:$A,ROW()-1)&gt;0,VLOOKUP(ROW()-1,Дела!$A:$C,3,0),"")</f>
        <v>+7 (4966736) 1-69_x000D_
+7 (4966736) 2-37_x000D_
+7 (4966736) 1-94_x000D_
+7 (4966736) 1-47</v>
      </c>
      <c r="B217" s="11" t="str">
        <f>IF(COUNTIF(Дела!$A:$A,ROW()-1)&gt;0,VLOOKUP(ROW()-1,Дела!$A:$F,6,0),"")</f>
        <v>А41-14865/2024</v>
      </c>
      <c r="C217" s="11" t="str">
        <f>IF(COUNTIF(Дела!$A:$A,ROW()-1)&gt;0,VLOOKUP(ROW()-1,Дела!$A:$G,7,0),"")</f>
        <v>АО "Мосэнергосбыт"</v>
      </c>
      <c r="D217" s="11" t="str">
        <f>IF(COUNTIF(Дела!$A:$A,ROW()-1)&gt;0,VLOOKUP(ROW()-1,Дела!$A:$I,9,0),"")</f>
        <v>ГУП МО "МСС"</v>
      </c>
      <c r="E217" s="11" t="str">
        <f t="shared" si="3"/>
        <v>Роман Вячеславович</v>
      </c>
      <c r="F217" s="12">
        <f>IF(COUNTIF(Дела!$A:$A,ROW()-1)&gt;0,VLOOKUP(ROW()-1,Дела!$A:$M,13,0),"")</f>
        <v>1384697.83</v>
      </c>
      <c r="G217" s="13">
        <f>IF(COUNTIF(Дела!$A:$A,ROW()-1)&gt;0,VLOOKUP(ROW()-1,Дела!$A:$N,14,0),"")</f>
        <v>45344</v>
      </c>
      <c r="H217" s="11" t="str">
        <f>IF(COUNTIF(Дела!$A:$A,ROW()-1)&gt;0,VLOOKUP(ROW()-1,Дела!$A:$K,11,0),"")</f>
        <v>Денисов Роман Вячеславович</v>
      </c>
    </row>
    <row r="218" spans="1:8" ht="30" x14ac:dyDescent="0.25">
      <c r="A218" s="11">
        <f>IF(COUNTIF(Дела!$A:$A,ROW()-1)&gt;0,VLOOKUP(ROW()-1,Дела!$A:$C,3,0),"")</f>
        <v>0</v>
      </c>
      <c r="B218" s="11" t="str">
        <f>IF(COUNTIF(Дела!$A:$A,ROW()-1)&gt;0,VLOOKUP(ROW()-1,Дела!$A:$F,6,0),"")</f>
        <v>А40-36270/2024</v>
      </c>
      <c r="C218" s="11" t="str">
        <f>IF(COUNTIF(Дела!$A:$A,ROW()-1)&gt;0,VLOOKUP(ROW()-1,Дела!$A:$G,7,0),"")</f>
        <v>ООО "Тинкер"</v>
      </c>
      <c r="D218" s="11" t="str">
        <f>IF(COUNTIF(Дела!$A:$A,ROW()-1)&gt;0,VLOOKUP(ROW()-1,Дела!$A:$I,9,0),"")</f>
        <v>ООО "Санрайз Инжиниринг"</v>
      </c>
      <c r="E218" s="11" t="str">
        <f t="shared" si="3"/>
        <v>Максим Иванович</v>
      </c>
      <c r="F218" s="12">
        <f>IF(COUNTIF(Дела!$A:$A,ROW()-1)&gt;0,VLOOKUP(ROW()-1,Дела!$A:$M,13,0),"")</f>
        <v>8744331.4499999993</v>
      </c>
      <c r="G218" s="13">
        <f>IF(COUNTIF(Дела!$A:$A,ROW()-1)&gt;0,VLOOKUP(ROW()-1,Дела!$A:$N,14,0),"")</f>
        <v>45344</v>
      </c>
      <c r="H218" s="11" t="str">
        <f>IF(COUNTIF(Дела!$A:$A,ROW()-1)&gt;0,VLOOKUP(ROW()-1,Дела!$A:$K,11,0),"")</f>
        <v>Конюхов Максим Иванович</v>
      </c>
    </row>
    <row r="219" spans="1:8" ht="30" x14ac:dyDescent="0.25">
      <c r="A219" s="11">
        <f>IF(COUNTIF(Дела!$A:$A,ROW()-1)&gt;0,VLOOKUP(ROW()-1,Дела!$A:$C,3,0),"")</f>
        <v>0</v>
      </c>
      <c r="B219" s="11" t="str">
        <f>IF(COUNTIF(Дела!$A:$A,ROW()-1)&gt;0,VLOOKUP(ROW()-1,Дела!$A:$F,6,0),"")</f>
        <v>А40-36348/2024</v>
      </c>
      <c r="C219" s="11" t="str">
        <f>IF(COUNTIF(Дела!$A:$A,ROW()-1)&gt;0,VLOOKUP(ROW()-1,Дела!$A:$G,7,0),"")</f>
        <v>ООО "Юность"</v>
      </c>
      <c r="D219" s="11" t="str">
        <f>IF(COUNTIF(Дела!$A:$A,ROW()-1)&gt;0,VLOOKUP(ROW()-1,Дела!$A:$I,9,0),"")</f>
        <v>ООО "Кей Капитал"</v>
      </c>
      <c r="E219" s="11" t="str">
        <f t="shared" si="3"/>
        <v>Ольга Вячеславовна</v>
      </c>
      <c r="F219" s="12">
        <f>IF(COUNTIF(Дела!$A:$A,ROW()-1)&gt;0,VLOOKUP(ROW()-1,Дела!$A:$M,13,0),"")</f>
        <v>973517.1</v>
      </c>
      <c r="G219" s="13">
        <f>IF(COUNTIF(Дела!$A:$A,ROW()-1)&gt;0,VLOOKUP(ROW()-1,Дела!$A:$N,14,0),"")</f>
        <v>45344</v>
      </c>
      <c r="H219" s="11" t="str">
        <f>IF(COUNTIF(Дела!$A:$A,ROW()-1)&gt;0,VLOOKUP(ROW()-1,Дела!$A:$K,11,0),"")</f>
        <v>Гусева Ольга Вячеславовна</v>
      </c>
    </row>
    <row r="220" spans="1:8" ht="60" x14ac:dyDescent="0.25">
      <c r="A220" s="11">
        <f>IF(COUNTIF(Дела!$A:$A,ROW()-1)&gt;0,VLOOKUP(ROW()-1,Дела!$A:$C,3,0),"")</f>
        <v>0</v>
      </c>
      <c r="B220" s="11" t="str">
        <f>IF(COUNTIF(Дела!$A:$A,ROW()-1)&gt;0,VLOOKUP(ROW()-1,Дела!$A:$F,6,0),"")</f>
        <v>А41-14999/2024</v>
      </c>
      <c r="C220" s="11" t="str">
        <f>IF(COUNTIF(Дела!$A:$A,ROW()-1)&gt;0,VLOOKUP(ROW()-1,Дела!$A:$G,7,0),"")</f>
        <v>ПАО "Россети Московский Регион", ПАО "Россети МР"</v>
      </c>
      <c r="D220" s="11" t="str">
        <f>IF(COUNTIF(Дела!$A:$A,ROW()-1)&gt;0,VLOOKUP(ROW()-1,Дела!$A:$I,9,0),"")</f>
        <v>ИП Коноплев Виталий Михайлович</v>
      </c>
      <c r="E220" s="11" t="str">
        <f t="shared" si="3"/>
        <v>Виталий Михайлович</v>
      </c>
      <c r="F220" s="12">
        <f>IF(COUNTIF(Дела!$A:$A,ROW()-1)&gt;0,VLOOKUP(ROW()-1,Дела!$A:$M,13,0),"")</f>
        <v>1925337.71</v>
      </c>
      <c r="G220" s="13">
        <f>IF(COUNTIF(Дела!$A:$A,ROW()-1)&gt;0,VLOOKUP(ROW()-1,Дела!$A:$N,14,0),"")</f>
        <v>45344</v>
      </c>
      <c r="H220" s="11" t="str">
        <f>IF(COUNTIF(Дела!$A:$A,ROW()-1)&gt;0,VLOOKUP(ROW()-1,Дела!$A:$K,11,0),"")</f>
        <v>Коноплев Виталий Михайлович</v>
      </c>
    </row>
    <row r="221" spans="1:8" ht="60" x14ac:dyDescent="0.25">
      <c r="A221" s="11" t="str">
        <f>IF(COUNTIF(Дела!$A:$A,ROW()-1)&gt;0,VLOOKUP(ROW()-1,Дела!$A:$C,3,0),"")</f>
        <v>+7 (49657) 3-10-06_x000D_
+7 (49657) 3-55-36</v>
      </c>
      <c r="B221" s="11" t="str">
        <f>IF(COUNTIF(Дела!$A:$A,ROW()-1)&gt;0,VLOOKUP(ROW()-1,Дела!$A:$F,6,0),"")</f>
        <v>А41-14878/2024</v>
      </c>
      <c r="C221" s="11" t="str">
        <f>IF(COUNTIF(Дела!$A:$A,ROW()-1)&gt;0,VLOOKUP(ROW()-1,Дела!$A:$G,7,0),"")</f>
        <v>АО "Мосэнергосбыт"</v>
      </c>
      <c r="D221" s="11" t="str">
        <f>IF(COUNTIF(Дела!$A:$A,ROW()-1)&gt;0,VLOOKUP(ROW()-1,Дела!$A:$I,9,0),"")</f>
        <v>МУП "ЭЦУ"</v>
      </c>
      <c r="E221" s="11" t="str">
        <f t="shared" si="3"/>
        <v>Олег Юрьевич</v>
      </c>
      <c r="F221" s="12">
        <f>IF(COUNTIF(Дела!$A:$A,ROW()-1)&gt;0,VLOOKUP(ROW()-1,Дела!$A:$M,13,0),"")</f>
        <v>1023057.18</v>
      </c>
      <c r="G221" s="13">
        <f>IF(COUNTIF(Дела!$A:$A,ROW()-1)&gt;0,VLOOKUP(ROW()-1,Дела!$A:$N,14,0),"")</f>
        <v>45344</v>
      </c>
      <c r="H221" s="11" t="str">
        <f>IF(COUNTIF(Дела!$A:$A,ROW()-1)&gt;0,VLOOKUP(ROW()-1,Дела!$A:$K,11,0),"")</f>
        <v>Жулябин Олег Юрьевич</v>
      </c>
    </row>
    <row r="222" spans="1:8" ht="45" x14ac:dyDescent="0.25">
      <c r="A222" s="11" t="str">
        <f>IF(COUNTIF(Дела!$A:$A,ROW()-1)&gt;0,VLOOKUP(ROW()-1,Дела!$A:$C,3,0),"")</f>
        <v>+7 (495) 223-44-68</v>
      </c>
      <c r="B222" s="11" t="str">
        <f>IF(COUNTIF(Дела!$A:$A,ROW()-1)&gt;0,VLOOKUP(ROW()-1,Дела!$A:$F,6,0),"")</f>
        <v>А41-14929/2024</v>
      </c>
      <c r="C222" s="11" t="str">
        <f>IF(COUNTIF(Дела!$A:$A,ROW()-1)&gt;0,VLOOKUP(ROW()-1,Дела!$A:$G,7,0),"")</f>
        <v>АО "Мосэнергосбыт"</v>
      </c>
      <c r="D222" s="11" t="str">
        <f>IF(COUNTIF(Дела!$A:$A,ROW()-1)&gt;0,VLOOKUP(ROW()-1,Дела!$A:$I,9,0),"")</f>
        <v>Ассоциация "Новое Тяжино"</v>
      </c>
      <c r="E222" s="11" t="str">
        <f t="shared" si="3"/>
        <v>Оксана Евгеньевна</v>
      </c>
      <c r="F222" s="12">
        <f>IF(COUNTIF(Дела!$A:$A,ROW()-1)&gt;0,VLOOKUP(ROW()-1,Дела!$A:$M,13,0),"")</f>
        <v>581059.39</v>
      </c>
      <c r="G222" s="13">
        <f>IF(COUNTIF(Дела!$A:$A,ROW()-1)&gt;0,VLOOKUP(ROW()-1,Дела!$A:$N,14,0),"")</f>
        <v>45344</v>
      </c>
      <c r="H222" s="11" t="str">
        <f>IF(COUNTIF(Дела!$A:$A,ROW()-1)&gt;0,VLOOKUP(ROW()-1,Дела!$A:$K,11,0),"")</f>
        <v>Гудкова Оксана Евгеньевна</v>
      </c>
    </row>
    <row r="223" spans="1:8" ht="45" x14ac:dyDescent="0.25">
      <c r="A223" s="11" t="str">
        <f>IF(COUNTIF(Дела!$A:$A,ROW()-1)&gt;0,VLOOKUP(ROW()-1,Дела!$A:$C,3,0),"")</f>
        <v>+7 (49624) 4-64-20</v>
      </c>
      <c r="B223" s="11" t="str">
        <f>IF(COUNTIF(Дела!$A:$A,ROW()-1)&gt;0,VLOOKUP(ROW()-1,Дела!$A:$F,6,0),"")</f>
        <v>А41-14889/2024</v>
      </c>
      <c r="C223" s="11" t="str">
        <f>IF(COUNTIF(Дела!$A:$A,ROW()-1)&gt;0,VLOOKUP(ROW()-1,Дела!$A:$G,7,0),"")</f>
        <v>АО "Мосэнергосбыт"</v>
      </c>
      <c r="D223" s="11" t="str">
        <f>IF(COUNTIF(Дела!$A:$A,ROW()-1)&gt;0,VLOOKUP(ROW()-1,Дела!$A:$I,9,0),"")</f>
        <v>СПК "Вымпел"</v>
      </c>
      <c r="E223" s="11" t="str">
        <f t="shared" si="3"/>
        <v>Андрей Владимирович</v>
      </c>
      <c r="F223" s="12">
        <f>IF(COUNTIF(Дела!$A:$A,ROW()-1)&gt;0,VLOOKUP(ROW()-1,Дела!$A:$M,13,0),"")</f>
        <v>515520.18</v>
      </c>
      <c r="G223" s="13">
        <f>IF(COUNTIF(Дела!$A:$A,ROW()-1)&gt;0,VLOOKUP(ROW()-1,Дела!$A:$N,14,0),"")</f>
        <v>45344</v>
      </c>
      <c r="H223" s="11" t="str">
        <f>IF(COUNTIF(Дела!$A:$A,ROW()-1)&gt;0,VLOOKUP(ROW()-1,Дела!$A:$K,11,0),"")</f>
        <v>Курбатов Андрей Владимирович</v>
      </c>
    </row>
    <row r="224" spans="1:8" ht="409.5" x14ac:dyDescent="0.25">
      <c r="A224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224" s="11" t="str">
        <f>IF(COUNTIF(Дела!$A:$A,ROW()-1)&gt;0,VLOOKUP(ROW()-1,Дела!$A:$F,6,0),"")</f>
        <v>А40-36018/2024</v>
      </c>
      <c r="C224" s="11" t="str">
        <f>IF(COUNTIF(Дела!$A:$A,ROW()-1)&gt;0,VLOOKUP(ROW()-1,Дела!$A:$G,7,0),"")</f>
        <v>ООО "Эктос-Транс"</v>
      </c>
      <c r="D224" s="11" t="str">
        <f>IF(COUNTIF(Дела!$A:$A,ROW()-1)&gt;0,VLOOKUP(ROW()-1,Дела!$A:$I,9,0),"")</f>
        <v>ОАО "РЖД"</v>
      </c>
      <c r="E224" s="11" t="str">
        <f t="shared" si="3"/>
        <v>Олег Валентинович</v>
      </c>
      <c r="F224" s="12">
        <f>IF(COUNTIF(Дела!$A:$A,ROW()-1)&gt;0,VLOOKUP(ROW()-1,Дела!$A:$M,13,0),"")</f>
        <v>2003296.54</v>
      </c>
      <c r="G224" s="13">
        <f>IF(COUNTIF(Дела!$A:$A,ROW()-1)&gt;0,VLOOKUP(ROW()-1,Дела!$A:$N,14,0),"")</f>
        <v>45343</v>
      </c>
      <c r="H224" s="11" t="str">
        <f>IF(COUNTIF(Дела!$A:$A,ROW()-1)&gt;0,VLOOKUP(ROW()-1,Дела!$A:$K,11,0),"")</f>
        <v>Белозёров Олег Валентинович</v>
      </c>
    </row>
    <row r="225" spans="1:8" ht="45" x14ac:dyDescent="0.25">
      <c r="A225" s="11">
        <f>IF(COUNTIF(Дела!$A:$A,ROW()-1)&gt;0,VLOOKUP(ROW()-1,Дела!$A:$C,3,0),"")</f>
        <v>0</v>
      </c>
      <c r="B225" s="11" t="str">
        <f>IF(COUNTIF(Дела!$A:$A,ROW()-1)&gt;0,VLOOKUP(ROW()-1,Дела!$A:$F,6,0),"")</f>
        <v>А41-14792/2024</v>
      </c>
      <c r="C225" s="11" t="str">
        <f>IF(COUNTIF(Дела!$A:$A,ROW()-1)&gt;0,VLOOKUP(ROW()-1,Дела!$A:$G,7,0),"")</f>
        <v>ООО "Стройтранс"</v>
      </c>
      <c r="D225" s="11" t="str">
        <f>IF(COUNTIF(Дела!$A:$A,ROW()-1)&gt;0,VLOOKUP(ROW()-1,Дела!$A:$I,9,0),"")</f>
        <v>ООО "Строймеханизация"</v>
      </c>
      <c r="E225" s="11" t="str">
        <f t="shared" si="3"/>
        <v>Валерий Павлович</v>
      </c>
      <c r="F225" s="12">
        <f>IF(COUNTIF(Дела!$A:$A,ROW()-1)&gt;0,VLOOKUP(ROW()-1,Дела!$A:$M,13,0),"")</f>
        <v>1419539.67</v>
      </c>
      <c r="G225" s="13">
        <f>IF(COUNTIF(Дела!$A:$A,ROW()-1)&gt;0,VLOOKUP(ROW()-1,Дела!$A:$N,14,0),"")</f>
        <v>45344</v>
      </c>
      <c r="H225" s="11" t="str">
        <f>IF(COUNTIF(Дела!$A:$A,ROW()-1)&gt;0,VLOOKUP(ROW()-1,Дела!$A:$K,11,0),"")</f>
        <v>Фролов Валерий Павлович</v>
      </c>
    </row>
    <row r="226" spans="1:8" ht="60" x14ac:dyDescent="0.25">
      <c r="A226" s="11" t="str">
        <f>IF(COUNTIF(Дела!$A:$A,ROW()-1)&gt;0,VLOOKUP(ROW()-1,Дела!$A:$C,3,0),"")</f>
        <v>+7 (985) 210-03-41_x000D_
+7 (917) 969-62-71</v>
      </c>
      <c r="B226" s="11" t="str">
        <f>IF(COUNTIF(Дела!$A:$A,ROW()-1)&gt;0,VLOOKUP(ROW()-1,Дела!$A:$F,6,0),"")</f>
        <v>А41-14903/2024</v>
      </c>
      <c r="C226" s="11" t="str">
        <f>IF(COUNTIF(Дела!$A:$A,ROW()-1)&gt;0,VLOOKUP(ROW()-1,Дела!$A:$G,7,0),"")</f>
        <v>АО "Мосэнергосбыт"</v>
      </c>
      <c r="D226" s="11" t="str">
        <f>IF(COUNTIF(Дела!$A:$A,ROW()-1)&gt;0,VLOOKUP(ROW()-1,Дела!$A:$I,9,0),"")</f>
        <v>ООО "УК "Чистота и Порядок"</v>
      </c>
      <c r="E226" s="11" t="str">
        <f t="shared" si="3"/>
        <v>Сергей Сергеевич</v>
      </c>
      <c r="F226" s="12">
        <f>IF(COUNTIF(Дела!$A:$A,ROW()-1)&gt;0,VLOOKUP(ROW()-1,Дела!$A:$M,13,0),"")</f>
        <v>540324.79</v>
      </c>
      <c r="G226" s="13">
        <f>IF(COUNTIF(Дела!$A:$A,ROW()-1)&gt;0,VLOOKUP(ROW()-1,Дела!$A:$N,14,0),"")</f>
        <v>45344</v>
      </c>
      <c r="H226" s="11" t="str">
        <f>IF(COUNTIF(Дела!$A:$A,ROW()-1)&gt;0,VLOOKUP(ROW()-1,Дела!$A:$K,11,0),"")</f>
        <v>Жуков Сергей Сергеевич</v>
      </c>
    </row>
    <row r="227" spans="1:8" ht="45" x14ac:dyDescent="0.25">
      <c r="A227" s="11" t="str">
        <f>IF(COUNTIF(Дела!$A:$A,ROW()-1)&gt;0,VLOOKUP(ROW()-1,Дела!$A:$C,3,0),"")</f>
        <v>+7 (962) 976-45-31</v>
      </c>
      <c r="B227" s="11" t="str">
        <f>IF(COUNTIF(Дела!$A:$A,ROW()-1)&gt;0,VLOOKUP(ROW()-1,Дела!$A:$F,6,0),"")</f>
        <v>А41-14892/2024</v>
      </c>
      <c r="C227" s="11" t="str">
        <f>IF(COUNTIF(Дела!$A:$A,ROW()-1)&gt;0,VLOOKUP(ROW()-1,Дела!$A:$G,7,0),"")</f>
        <v>АО "Мосэнергосбыт"</v>
      </c>
      <c r="D227" s="11" t="str">
        <f>IF(COUNTIF(Дела!$A:$A,ROW()-1)&gt;0,VLOOKUP(ROW()-1,Дела!$A:$I,9,0),"")</f>
        <v>СНТ "Истра-1"</v>
      </c>
      <c r="E227" s="11" t="str">
        <f t="shared" si="3"/>
        <v>Ольга Леонидовна</v>
      </c>
      <c r="F227" s="12">
        <f>IF(COUNTIF(Дела!$A:$A,ROW()-1)&gt;0,VLOOKUP(ROW()-1,Дела!$A:$M,13,0),"")</f>
        <v>555165.61</v>
      </c>
      <c r="G227" s="13">
        <f>IF(COUNTIF(Дела!$A:$A,ROW()-1)&gt;0,VLOOKUP(ROW()-1,Дела!$A:$N,14,0),"")</f>
        <v>45344</v>
      </c>
      <c r="H227" s="11" t="str">
        <f>IF(COUNTIF(Дела!$A:$A,ROW()-1)&gt;0,VLOOKUP(ROW()-1,Дела!$A:$K,11,0),"")</f>
        <v>Васильчикова Ольга Леонидовна</v>
      </c>
    </row>
    <row r="228" spans="1:8" ht="30" x14ac:dyDescent="0.25">
      <c r="A228" s="11">
        <f>IF(COUNTIF(Дела!$A:$A,ROW()-1)&gt;0,VLOOKUP(ROW()-1,Дела!$A:$C,3,0),"")</f>
        <v>0</v>
      </c>
      <c r="B228" s="11" t="str">
        <f>IF(COUNTIF(Дела!$A:$A,ROW()-1)&gt;0,VLOOKUP(ROW()-1,Дела!$A:$F,6,0),"")</f>
        <v>А40-35520/2024</v>
      </c>
      <c r="C228" s="11" t="str">
        <f>IF(COUNTIF(Дела!$A:$A,ROW()-1)&gt;0,VLOOKUP(ROW()-1,Дела!$A:$G,7,0),"")</f>
        <v>ООО "Гермес Логистик"</v>
      </c>
      <c r="D228" s="11" t="str">
        <f>IF(COUNTIF(Дела!$A:$A,ROW()-1)&gt;0,VLOOKUP(ROW()-1,Дела!$A:$I,9,0),"")</f>
        <v>ООО "Энергосервис"</v>
      </c>
      <c r="E228" s="11" t="str">
        <f t="shared" si="3"/>
        <v>Елизавета Михайловна</v>
      </c>
      <c r="F228" s="12">
        <f>IF(COUNTIF(Дела!$A:$A,ROW()-1)&gt;0,VLOOKUP(ROW()-1,Дела!$A:$M,13,0),"")</f>
        <v>1100000</v>
      </c>
      <c r="G228" s="13">
        <f>IF(COUNTIF(Дела!$A:$A,ROW()-1)&gt;0,VLOOKUP(ROW()-1,Дела!$A:$N,14,0),"")</f>
        <v>45343</v>
      </c>
      <c r="H228" s="11" t="str">
        <f>IF(COUNTIF(Дела!$A:$A,ROW()-1)&gt;0,VLOOKUP(ROW()-1,Дела!$A:$K,11,0),"")</f>
        <v>Ершова Елизавета Михайловна</v>
      </c>
    </row>
    <row r="229" spans="1:8" ht="150" x14ac:dyDescent="0.25">
      <c r="A229" s="11" t="str">
        <f>IF(COUNTIF(Дела!$A:$A,ROW()-1)&gt;0,VLOOKUP(ROW()-1,Дела!$A:$C,3,0),"")</f>
        <v>+7 (495) 540-58-89_x000D_
+7 (903) 777-37-13_x000D_
+7 (49654) 0-58-89_x000D_
+7 (929) 922-23-22_x000D_
+7 (495) 785-07-61</v>
      </c>
      <c r="B229" s="11" t="str">
        <f>IF(COUNTIF(Дела!$A:$A,ROW()-1)&gt;0,VLOOKUP(ROW()-1,Дела!$A:$F,6,0),"")</f>
        <v>А40-35318/2024</v>
      </c>
      <c r="C229" s="11" t="str">
        <f>IF(COUNTIF(Дела!$A:$A,ROW()-1)&gt;0,VLOOKUP(ROW()-1,Дела!$A:$G,7,0),"")</f>
        <v>ООО "Святогор-СБ"</v>
      </c>
      <c r="D229" s="11" t="str">
        <f>IF(COUNTIF(Дела!$A:$A,ROW()-1)&gt;0,VLOOKUP(ROW()-1,Дела!$A:$I,9,0),"")</f>
        <v>ООО "СТС"</v>
      </c>
      <c r="E229" s="11" t="str">
        <f t="shared" si="3"/>
        <v>Николай Сергеевич</v>
      </c>
      <c r="F229" s="12">
        <f>IF(COUNTIF(Дела!$A:$A,ROW()-1)&gt;0,VLOOKUP(ROW()-1,Дела!$A:$M,13,0),"")</f>
        <v>2074169.74</v>
      </c>
      <c r="G229" s="13">
        <f>IF(COUNTIF(Дела!$A:$A,ROW()-1)&gt;0,VLOOKUP(ROW()-1,Дела!$A:$N,14,0),"")</f>
        <v>45343</v>
      </c>
      <c r="H229" s="11" t="str">
        <f>IF(COUNTIF(Дела!$A:$A,ROW()-1)&gt;0,VLOOKUP(ROW()-1,Дела!$A:$K,11,0),"")</f>
        <v>Пушкарев Николай Сергеевич</v>
      </c>
    </row>
    <row r="230" spans="1:8" ht="60" x14ac:dyDescent="0.25">
      <c r="A230" s="11" t="str">
        <f>IF(COUNTIF(Дела!$A:$A,ROW()-1)&gt;0,VLOOKUP(ROW()-1,Дела!$A:$C,3,0),"")</f>
        <v>+7 (921) 186-58-28_x000D_
+7 (952) 239-85-81</v>
      </c>
      <c r="B230" s="11" t="str">
        <f>IF(COUNTIF(Дела!$A:$A,ROW()-1)&gt;0,VLOOKUP(ROW()-1,Дела!$A:$F,6,0),"")</f>
        <v>А40-35228/2024</v>
      </c>
      <c r="C230" s="11" t="str">
        <f>IF(COUNTIF(Дела!$A:$A,ROW()-1)&gt;0,VLOOKUP(ROW()-1,Дела!$A:$G,7,0),"")</f>
        <v>ООО "Газпромбанк Автолизинг"</v>
      </c>
      <c r="D230" s="11" t="str">
        <f>IF(COUNTIF(Дела!$A:$A,ROW()-1)&gt;0,VLOOKUP(ROW()-1,Дела!$A:$I,9,0),"")</f>
        <v>ООО "Империя"</v>
      </c>
      <c r="E230" s="11" t="str">
        <f t="shared" si="3"/>
        <v>Сюзанна Павловна</v>
      </c>
      <c r="F230" s="12">
        <f>IF(COUNTIF(Дела!$A:$A,ROW()-1)&gt;0,VLOOKUP(ROW()-1,Дела!$A:$M,13,0),"")</f>
        <v>641048.96</v>
      </c>
      <c r="G230" s="13">
        <f>IF(COUNTIF(Дела!$A:$A,ROW()-1)&gt;0,VLOOKUP(ROW()-1,Дела!$A:$N,14,0),"")</f>
        <v>45343</v>
      </c>
      <c r="H230" s="11" t="str">
        <f>IF(COUNTIF(Дела!$A:$A,ROW()-1)&gt;0,VLOOKUP(ROW()-1,Дела!$A:$K,11,0),"")</f>
        <v>Кицул Сюзанна Павловна</v>
      </c>
    </row>
    <row r="231" spans="1:8" ht="409.5" x14ac:dyDescent="0.25">
      <c r="A231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231" s="11" t="str">
        <f>IF(COUNTIF(Дела!$A:$A,ROW()-1)&gt;0,VLOOKUP(ROW()-1,Дела!$A:$F,6,0),"")</f>
        <v>А40-35184/2024</v>
      </c>
      <c r="C231" s="11" t="str">
        <f>IF(COUNTIF(Дела!$A:$A,ROW()-1)&gt;0,VLOOKUP(ROW()-1,Дела!$A:$G,7,0),"")</f>
        <v>ООО "Транслес"</v>
      </c>
      <c r="D231" s="11" t="str">
        <f>IF(COUNTIF(Дела!$A:$A,ROW()-1)&gt;0,VLOOKUP(ROW()-1,Дела!$A:$I,9,0),"")</f>
        <v>ОАО "РЖД"</v>
      </c>
      <c r="E231" s="11" t="str">
        <f t="shared" si="3"/>
        <v>Олег Валентинович</v>
      </c>
      <c r="F231" s="12">
        <f>IF(COUNTIF(Дела!$A:$A,ROW()-1)&gt;0,VLOOKUP(ROW()-1,Дела!$A:$M,13,0),"")</f>
        <v>594328.98</v>
      </c>
      <c r="G231" s="13">
        <f>IF(COUNTIF(Дела!$A:$A,ROW()-1)&gt;0,VLOOKUP(ROW()-1,Дела!$A:$N,14,0),"")</f>
        <v>45343</v>
      </c>
      <c r="H231" s="11" t="str">
        <f>IF(COUNTIF(Дела!$A:$A,ROW()-1)&gt;0,VLOOKUP(ROW()-1,Дела!$A:$K,11,0),"")</f>
        <v>Белозёров Олег Валентинович</v>
      </c>
    </row>
    <row r="232" spans="1:8" ht="60" x14ac:dyDescent="0.25">
      <c r="A232" s="11" t="str">
        <f>IF(COUNTIF(Дела!$A:$A,ROW()-1)&gt;0,VLOOKUP(ROW()-1,Дела!$A:$C,3,0),"")</f>
        <v>+7 (495) 651-07-97_x000D_
+7 (495) 633-67-22</v>
      </c>
      <c r="B232" s="11" t="str">
        <f>IF(COUNTIF(Дела!$A:$A,ROW()-1)&gt;0,VLOOKUP(ROW()-1,Дела!$A:$F,6,0),"")</f>
        <v>А40-36917/2024</v>
      </c>
      <c r="C232" s="11" t="str">
        <f>IF(COUNTIF(Дела!$A:$A,ROW()-1)&gt;0,VLOOKUP(ROW()-1,Дела!$A:$G,7,0),"")</f>
        <v>ГБУ "Жилищник района Щукино"</v>
      </c>
      <c r="D232" s="11" t="str">
        <f>IF(COUNTIF(Дела!$A:$A,ROW()-1)&gt;0,VLOOKUP(ROW()-1,Дела!$A:$I,9,0),"")</f>
        <v>Фонд Реновации</v>
      </c>
      <c r="E232" s="11" t="str">
        <f t="shared" si="3"/>
        <v>Анатолий Васильевич</v>
      </c>
      <c r="F232" s="12">
        <f>IF(COUNTIF(Дела!$A:$A,ROW()-1)&gt;0,VLOOKUP(ROW()-1,Дела!$A:$M,13,0),"")</f>
        <v>4167995.99</v>
      </c>
      <c r="G232" s="13">
        <f>IF(COUNTIF(Дела!$A:$A,ROW()-1)&gt;0,VLOOKUP(ROW()-1,Дела!$A:$N,14,0),"")</f>
        <v>45344</v>
      </c>
      <c r="H232" s="11" t="str">
        <f>IF(COUNTIF(Дела!$A:$A,ROW()-1)&gt;0,VLOOKUP(ROW()-1,Дела!$A:$K,11,0),"")</f>
        <v>Константинов Анатолий Васильевич</v>
      </c>
    </row>
    <row r="233" spans="1:8" ht="409.5" x14ac:dyDescent="0.25">
      <c r="A233" s="11" t="str">
        <f>IF(COUNTIF(Дела!$A:$A,ROW()-1)&gt;0,VLOOKUP(ROW()-1,Дела!$A:$C,3,0),"")</f>
        <v>+7 (49646) 3-93-01_x000D_
+7 (49646) 3-33-54_x000D_
+7 (49654) 7-21-58_x000D_
+7 (49646) 9-75-38_x000D_
+7 (495) 463-93-01_x000D_
+7 (495) 496-46-39, доб 301_x000D_
+7 (495) 557-92-74_x000D_
+7 (495) 598-19-89_x000D_
+7 (4964) 93-93-01_x000D_
+7 (49646) 2-14-92_x000D_
+7 (49646) 3-23-13_x000D_
+7 (49646) 3-28-29_x000D_
+7 (49646) 3-80-14_x000D_
+7 (49646) 3-93-01, доб 111_x000D_
+7 (49646) 4-63-93, доб 01_x000D_
+7 (49646) 6-92-60_x000D_
+7 (49646) 7-34-38_x000D_
+7 (4967) 56-24-52_x000D_
+7 (49646) 4-76-40_x000D_
+7 (49646) 1-74-76_x000D_
+7 (49646) 3-39-01_x000D_
+7 (49646) 3-08-51_x000D_
+7 (49646) 3-93-30, доб 1_x000D_
+7 (495) 496-46-39, доб 3601_x000D_
+7 (49646) 1-89-59_x000D_
+7 (49646) 3-32-21_x000D_
+7 (49646) 3-14-71_x000D_
+7 (49646) 7-36-11_x000D_
+7 (495) 777-77-77_x000D_
+7 (49646) 3-33-54, доб 001_x000D_
+7 (495) 000-00-00_x000D_
+7 (49646) 3-93-31_x000D_
+7 (495) 744-26-42_x000D_
+7 (4964) 93-36-54_x000D_
+7 (49646) 3-45-97_x000D_
+7 (49646) 7-94-84</v>
      </c>
      <c r="B233" s="11" t="str">
        <f>IF(COUNTIF(Дела!$A:$A,ROW()-1)&gt;0,VLOOKUP(ROW()-1,Дела!$A:$F,6,0),"")</f>
        <v>А41-14874/2024</v>
      </c>
      <c r="C233" s="11" t="str">
        <f>IF(COUNTIF(Дела!$A:$A,ROW()-1)&gt;0,VLOOKUP(ROW()-1,Дела!$A:$G,7,0),"")</f>
        <v>АО "Мосэнергосбыт"</v>
      </c>
      <c r="D233" s="11" t="str">
        <f>IF(COUNTIF(Дела!$A:$A,ROW()-1)&gt;0,VLOOKUP(ROW()-1,Дела!$A:$I,9,0),"")</f>
        <v>АО "Раменская Теплосеть"</v>
      </c>
      <c r="E233" s="11" t="str">
        <f t="shared" si="3"/>
        <v>Алексей Владимирович</v>
      </c>
      <c r="F233" s="12">
        <f>IF(COUNTIF(Дела!$A:$A,ROW()-1)&gt;0,VLOOKUP(ROW()-1,Дела!$A:$M,13,0),"")</f>
        <v>915076.13</v>
      </c>
      <c r="G233" s="13">
        <f>IF(COUNTIF(Дела!$A:$A,ROW()-1)&gt;0,VLOOKUP(ROW()-1,Дела!$A:$N,14,0),"")</f>
        <v>45344</v>
      </c>
      <c r="H233" s="11" t="str">
        <f>IF(COUNTIF(Дела!$A:$A,ROW()-1)&gt;0,VLOOKUP(ROW()-1,Дела!$A:$K,11,0),"")</f>
        <v>Варлачев Алексей Владимирович</v>
      </c>
    </row>
    <row r="234" spans="1:8" ht="30" x14ac:dyDescent="0.25">
      <c r="A234" s="11">
        <f>IF(COUNTIF(Дела!$A:$A,ROW()-1)&gt;0,VLOOKUP(ROW()-1,Дела!$A:$C,3,0),"")</f>
        <v>0</v>
      </c>
      <c r="B234" s="11" t="str">
        <f>IF(COUNTIF(Дела!$A:$A,ROW()-1)&gt;0,VLOOKUP(ROW()-1,Дела!$A:$F,6,0),"")</f>
        <v>А41-14958/2024</v>
      </c>
      <c r="C234" s="11" t="str">
        <f>IF(COUNTIF(Дела!$A:$A,ROW()-1)&gt;0,VLOOKUP(ROW()-1,Дела!$A:$G,7,0),"")</f>
        <v>ООО "Комета-а"</v>
      </c>
      <c r="D234" s="11" t="str">
        <f>IF(COUNTIF(Дела!$A:$A,ROW()-1)&gt;0,VLOOKUP(ROW()-1,Дела!$A:$I,9,0),"")</f>
        <v>ООО "ПСК"</v>
      </c>
      <c r="E234" s="11" t="str">
        <f t="shared" si="3"/>
        <v>Наталья Александровна</v>
      </c>
      <c r="F234" s="12">
        <f>IF(COUNTIF(Дела!$A:$A,ROW()-1)&gt;0,VLOOKUP(ROW()-1,Дела!$A:$M,13,0),"")</f>
        <v>2096414</v>
      </c>
      <c r="G234" s="13">
        <f>IF(COUNTIF(Дела!$A:$A,ROW()-1)&gt;0,VLOOKUP(ROW()-1,Дела!$A:$N,14,0),"")</f>
        <v>45344</v>
      </c>
      <c r="H234" s="11" t="str">
        <f>IF(COUNTIF(Дела!$A:$A,ROW()-1)&gt;0,VLOOKUP(ROW()-1,Дела!$A:$K,11,0),"")</f>
        <v>Молькова Наталья Александровна</v>
      </c>
    </row>
    <row r="235" spans="1:8" ht="30" x14ac:dyDescent="0.25">
      <c r="A235" s="11">
        <f>IF(COUNTIF(Дела!$A:$A,ROW()-1)&gt;0,VLOOKUP(ROW()-1,Дела!$A:$C,3,0),"")</f>
        <v>0</v>
      </c>
      <c r="B235" s="11" t="str">
        <f>IF(COUNTIF(Дела!$A:$A,ROW()-1)&gt;0,VLOOKUP(ROW()-1,Дела!$A:$F,6,0),"")</f>
        <v>А40-36738/2024</v>
      </c>
      <c r="C235" s="11" t="str">
        <f>IF(COUNTIF(Дела!$A:$A,ROW()-1)&gt;0,VLOOKUP(ROW()-1,Дела!$A:$G,7,0),"")</f>
        <v>ООО "РОН"</v>
      </c>
      <c r="D235" s="11" t="str">
        <f>IF(COUNTIF(Дела!$A:$A,ROW()-1)&gt;0,VLOOKUP(ROW()-1,Дела!$A:$I,9,0),"")</f>
        <v>ООО "Модная Розница"</v>
      </c>
      <c r="E235" s="11" t="str">
        <f t="shared" si="3"/>
        <v>Семен Васильевич</v>
      </c>
      <c r="F235" s="12">
        <f>IF(COUNTIF(Дела!$A:$A,ROW()-1)&gt;0,VLOOKUP(ROW()-1,Дела!$A:$M,13,0),"")</f>
        <v>1962645.2</v>
      </c>
      <c r="G235" s="13">
        <f>IF(COUNTIF(Дела!$A:$A,ROW()-1)&gt;0,VLOOKUP(ROW()-1,Дела!$A:$N,14,0),"")</f>
        <v>45344</v>
      </c>
      <c r="H235" s="11" t="str">
        <f>IF(COUNTIF(Дела!$A:$A,ROW()-1)&gt;0,VLOOKUP(ROW()-1,Дела!$A:$K,11,0),"")</f>
        <v>Пименов Семен Васильевич</v>
      </c>
    </row>
    <row r="236" spans="1:8" ht="409.5" x14ac:dyDescent="0.25">
      <c r="A236" s="11" t="str">
        <f>IF(COUNTIF(Дела!$A:$A,ROW()-1)&gt;0,VLOOKUP(ROW()-1,Дела!$A:$C,3,0),"")</f>
        <v>+7 (495) 529-21-51_x000D_
+7 (495) 521-00-42_x000D_
+7 (495) 523-72-58_x000D_
+7 (495) 123-45-67_x000D_
+7 (495) 521-17-65_x000D_
+7 (495) 521-21-51_x000D_
+7 (495) 521-22-00_x000D_
+7 (495) 521-30-78_x000D_
+7 (495) 521-33-76_x000D_
+7 (495) 521-63-53_x000D_
+7 (495) 521-65-17_x000D_
+7 (495) 521-65-17, доб 158_x000D_
+7 (495) 522-31-80_x000D_
+7 (495) 523-47-59_x000D_
+7 (495) 524-33-82_x000D_
+7 (495) 529-21-00_x000D_
+7 (495) 529-21-21_x000D_
+7 (495) 529-21-51, доб 00_x000D_
+7 (495) 529-21-56_x000D_
+7 (495) 529-25-47_x000D_
+7 (495) 529-51-21_x000D_
+7 (495) 531-20-08_x000D_
+7 (495) 542-52-52_x000D_
+7 (495) 545-45-45_x000D_
+7 (495) 545-87-54_x000D_
+7 (495) 554-34-34_x000D_
+7 (495) 582-90-20_x000D_
+7 (498) 522-28-25_x000D_
+7 (8712) 31-23-45, доб 67_x000D_
+7 (965) 234-93-78_x000D_
+7 (985) 439-15-48_x000D_
+7 (495) 529-21-61_x000D_
+7 (495) 523-46-89_x000D_
+7 (495) 525-65-47_x000D_
+7 (495) 521-43-89_x000D_
+7 (495) 552-92-15, доб 1_x000D_
+7 (495) 521-21-21_x000D_
+7 (495) 521-21-21, доб 484_x000D_
+7 (499) 555-77-99_x000D_
+7 (499) 750-23-34_x000D_
+7 (495) 522-44-15_x000D_
+7 (495) 521-21-21, доб 170_x000D_
+7 (495) 522-03-35_x000D_
+7 (495) 521-21-21, доб 456_x000D_
+7 (499) 301-03-34_x000D_
+7 (499) 301-03-37_x000D_
+7 (495) 522-04-47_x000D_
+7 (495) 522-11-52_x000D_
+7 (495) 521-21-21, доб 105_x000D_
+7 (495) 429-21-51_x000D_
+7 (495) 522-03-55_x000D_
+7 (495) 529-24-51_x000D_
+7 (495) 522-07-54_x000D_
+7 (495) 529-21-51, доб 2_x000D_
+7 (495) 000-00-00_x000D_
+7 (495) 521-00-61_x000D_
+7 (495) 531-20-08, доб 1401_x000D_
+7 (495) 111-11-11_x000D_
+7 (495) 521-05-17</v>
      </c>
      <c r="B236" s="11" t="str">
        <f>IF(COUNTIF(Дела!$A:$A,ROW()-1)&gt;0,VLOOKUP(ROW()-1,Дела!$A:$F,6,0),"")</f>
        <v>А41-14964/2024</v>
      </c>
      <c r="C236" s="11" t="str">
        <f>IF(COUNTIF(Дела!$A:$A,ROW()-1)&gt;0,VLOOKUP(ROW()-1,Дела!$A:$G,7,0),"")</f>
        <v>ООО "ТСК Мосэнерго"</v>
      </c>
      <c r="D236" s="11" t="str">
        <f>IF(COUNTIF(Дела!$A:$A,ROW()-1)&gt;0,VLOOKUP(ROW()-1,Дела!$A:$I,9,0),"")</f>
        <v>МУП "БКС"</v>
      </c>
      <c r="E236" s="11" t="str">
        <f t="shared" si="3"/>
        <v>Николай Игоревич</v>
      </c>
      <c r="F236" s="12">
        <f>IF(COUNTIF(Дела!$A:$A,ROW()-1)&gt;0,VLOOKUP(ROW()-1,Дела!$A:$M,13,0),"")</f>
        <v>49277479.18</v>
      </c>
      <c r="G236" s="13">
        <f>IF(COUNTIF(Дела!$A:$A,ROW()-1)&gt;0,VLOOKUP(ROW()-1,Дела!$A:$N,14,0),"")</f>
        <v>45344</v>
      </c>
      <c r="H236" s="11" t="str">
        <f>IF(COUNTIF(Дела!$A:$A,ROW()-1)&gt;0,VLOOKUP(ROW()-1,Дела!$A:$K,11,0),"")</f>
        <v>Говричев Николай Игоревич</v>
      </c>
    </row>
    <row r="237" spans="1:8" ht="409.5" x14ac:dyDescent="0.25">
      <c r="A237" s="11" t="str">
        <f>IF(COUNTIF(Дела!$A:$A,ROW()-1)&gt;0,VLOOKUP(ROW()-1,Дела!$A:$C,3,0),"")</f>
        <v>+7 (8442) 26-26-26_x000D_
+7 (8442) 94-63-56_x000D_
+7 (8442) 96-43-45_x000D_
+7 (8443) 39-99-44_x000D_
+7 (8442) 96-43-59_x000D_
+7 (8442) 26-26-26, доб 7076_x000D_
+7 (8442) 26-26-26, доб 7171_x000D_
+7 (8442) 26-26-26, доб 7725_x000D_
+7 (8442) 26-26-26, доб 6336_x000D_
+7 (8443) 39-39-65_x000D_
+7 (84442) 4-70-33_x000D_
+7 (844) 634-96-38_x000D_
+7 (844) 756-19-53_x000D_
+7 (8442) 26-26-26, доб 2_x000D_
+7 (84457) 4-65-50_x000D_
+7 (84462) 6-12-36_x000D_
+7 (8442) 53-73-49_x000D_
+7 (8442) 70-07-00, доб 116_x000D_
+7 (84457) 4-64-50_x000D_
+7 (84446) 3-14-65_x000D_
+7 (8442) 94-37-28_x000D_
+7 (8442) 26-26-26, доб 7722_x000D_
+7 (8442) 70-07-00, доб 1166_x000D_
+7 (84457) 4-72-05_x000D_
+7 (84477) 6-81-00_x000D_
+7 (844) 756-61-95, доб 3_x000D_
+7 (84442) 3-70-28_x000D_
+7 (8442) 92-32-83_x000D_
+7 (8442) 70-07-00, доб 1161_x000D_
+7 (8443) 33-99-92, доб 2_x000D_
+7 (84442) 4-70-21_x000D_
+7 (8422) 34-15-24, доб 5_x000D_
+7 (8442) 27-00-70_x000D_
+7 (8442) 70-00-70_x000D_
+7 (8443) 39-99-22_x000D_
+7 (844) 756-77-66_x000D_
+7 (8442) 90-00-09_x000D_
+7 (8442) 94-77-86_x000D_
+7 (8443) 52-55-08_x000D_
+7 (8442) 70-07-00, доб 1181_x000D_
+7 (8442) 39-99-22_x000D_
+7 (84478) 4-63-36_x000D_
+7 (8442) 39-39-65_x000D_
+7 (84472) 3-47-50_x000D_
+7 (8442) 22-62-62, доб 6_x000D_
+7 (84476) 3-15-76_x000D_
+7 (4842) 70-07-00_x000D_
+7 (8442) 26-26-16_x000D_
+7 (8442) 44-20-30_x000D_
+7 (84457) 6-64-50_x000D_
+7 (8442) 70-11-66_x000D_
+7 (84442) 4-70-20_x000D_
+7 (844) 664-21-31_x000D_
+7 (84458) 3-32-68_x000D_
+7 (8442) 33-30-02_x000D_
+7 (84473) 2-25-15_x000D_
+7 (8442) 42-51-42_x000D_
+7 (84467) 5-22-85_x000D_
+7 (84472) 5-24-90_x000D_
+7 (8442) 48-14-21_x000D_
+7 (8442) 70-07-00, доб 1116_x000D_
+7 (84442) 4-70-22_x000D_
+7 (84442) 4-70-29_x000D_
+7 (8442) 70-07-00, доб 1106_x000D_
+7 (8442) 26-26-26, доб 7727_x000D_
+7 (84442) 4-30-01_x000D_
+7 (84447) 3-48-44_x000D_
+7 (8443) 39-33-88_x000D_
+7 (8442) 42-05-45_x000D_
+7 (8442) 70-07-00, доб 1167_x000D_
+7 (8442) 99-07-11_x000D_
+7 (8443) 39-99-92_x000D_
+7 (903) 767-20-70_x000D_
+7 (8442) 70-07-00_x000D_
+7 (8442) 59-59-59_x000D_
+7 (84476) 3-16-05_x000D_
+7 (8442) 39-33-22_x000D_
+7 (84442) 4-70-25_x000D_
+7 (8442) 23-99-92, доб 2_x000D_
+7 (8442) 39-56-89_x000D_
+7 (8443) 39-99-22, доб 8_x000D_
+7 (84442) 4-20-40_x000D_
+7 (84465) 4-46-70_x000D_
+7 (8442) 70-07-00, доб 1155_x000D_
+7 (8442) 43-45-96_x000D_
+7 (8442) 62-26-26_x000D_
+7 (8442) 96-07-03_x000D_
+7 (84442) 4-14-14_x000D_
+7 (84457) 4-24-59_x000D_
+7 (8442) 30-08-11_x000D_
+7 (8442) 42-54-14_x000D_
+7 (84473) 2-26-75_x000D_
+7 (8442) 34-56-30_x000D_
+7 (8442) 35-46-50_x000D_
+7 (8442) 97-08-63_x000D_
+7 (8442) 97-52-09_x000D_
+7 (8442) 45-76-98_x000D_
+7 (8442) 96-91-69_x000D_
+7 (84442) 4-13-32_x000D_
+7 (844) 746-19-56</v>
      </c>
      <c r="B237" s="11" t="str">
        <f>IF(COUNTIF(Дела!$A:$A,ROW()-1)&gt;0,VLOOKUP(ROW()-1,Дела!$A:$F,6,0),"")</f>
        <v>А40-36695/2024</v>
      </c>
      <c r="C237" s="11" t="str">
        <f>IF(COUNTIF(Дела!$A:$A,ROW()-1)&gt;0,VLOOKUP(ROW()-1,Дела!$A:$G,7,0),"")</f>
        <v>АО "Квадра"</v>
      </c>
      <c r="D237" s="11" t="str">
        <f>IF(COUNTIF(Дела!$A:$A,ROW()-1)&gt;0,VLOOKUP(ROW()-1,Дела!$A:$I,9,0),"")</f>
        <v>ПАО "Волгоградэнергосбыт"</v>
      </c>
      <c r="E237" s="11" t="str">
        <f t="shared" si="3"/>
        <v>Дмитрий Михайлович</v>
      </c>
      <c r="F237" s="12">
        <f>IF(COUNTIF(Дела!$A:$A,ROW()-1)&gt;0,VLOOKUP(ROW()-1,Дела!$A:$M,13,0),"")</f>
        <v>10796070.1</v>
      </c>
      <c r="G237" s="13">
        <f>IF(COUNTIF(Дела!$A:$A,ROW()-1)&gt;0,VLOOKUP(ROW()-1,Дела!$A:$N,14,0),"")</f>
        <v>45344</v>
      </c>
      <c r="H237" s="11" t="str">
        <f>IF(COUNTIF(Дела!$A:$A,ROW()-1)&gt;0,VLOOKUP(ROW()-1,Дела!$A:$K,11,0),"")</f>
        <v>Кауль Дмитрий Михайлович</v>
      </c>
    </row>
    <row r="238" spans="1:8" ht="60" x14ac:dyDescent="0.25">
      <c r="A238" s="11" t="str">
        <f>IF(COUNTIF(Дела!$A:$A,ROW()-1)&gt;0,VLOOKUP(ROW()-1,Дела!$A:$C,3,0),"")</f>
        <v>+7 (499) 350-73-33_x000D_
+7 (499) 350-95-55</v>
      </c>
      <c r="B238" s="11" t="str">
        <f>IF(COUNTIF(Дела!$A:$A,ROW()-1)&gt;0,VLOOKUP(ROW()-1,Дела!$A:$F,6,0),"")</f>
        <v>А40-36623/2024</v>
      </c>
      <c r="C238" s="11">
        <f>IF(COUNTIF(Дела!$A:$A,ROW()-1)&gt;0,VLOOKUP(ROW()-1,Дела!$A:$G,7,0),"")</f>
        <v>0</v>
      </c>
      <c r="D238" s="11" t="str">
        <f>IF(COUNTIF(Дела!$A:$A,ROW()-1)&gt;0,VLOOKUP(ROW()-1,Дела!$A:$I,9,0),"")</f>
        <v>КПК "Альфа Сбережения"</v>
      </c>
      <c r="E238" s="11" t="str">
        <f t="shared" si="3"/>
        <v>Антон Сергеевич</v>
      </c>
      <c r="F238" s="12">
        <f>IF(COUNTIF(Дела!$A:$A,ROW()-1)&gt;0,VLOOKUP(ROW()-1,Дела!$A:$M,13,0),"")</f>
        <v>6225100</v>
      </c>
      <c r="G238" s="13">
        <f>IF(COUNTIF(Дела!$A:$A,ROW()-1)&gt;0,VLOOKUP(ROW()-1,Дела!$A:$N,14,0),"")</f>
        <v>45344</v>
      </c>
      <c r="H238" s="11" t="str">
        <f>IF(COUNTIF(Дела!$A:$A,ROW()-1)&gt;0,VLOOKUP(ROW()-1,Дела!$A:$K,11,0),"")</f>
        <v>Шепелев Антон Сергеевич</v>
      </c>
    </row>
    <row r="239" spans="1:8" ht="30" x14ac:dyDescent="0.25">
      <c r="A239" s="11" t="str">
        <f>IF(COUNTIF(Дела!$A:$A,ROW()-1)&gt;0,VLOOKUP(ROW()-1,Дела!$A:$C,3,0),"")</f>
        <v>+7 (499) 488-70-30</v>
      </c>
      <c r="B239" s="11" t="str">
        <f>IF(COUNTIF(Дела!$A:$A,ROW()-1)&gt;0,VLOOKUP(ROW()-1,Дела!$A:$F,6,0),"")</f>
        <v>А40-36392/2024</v>
      </c>
      <c r="C239" s="11" t="str">
        <f>IF(COUNTIF(Дела!$A:$A,ROW()-1)&gt;0,VLOOKUP(ROW()-1,Дела!$A:$G,7,0),"")</f>
        <v>ПАО "МОЭК"</v>
      </c>
      <c r="D239" s="11" t="str">
        <f>IF(COUNTIF(Дела!$A:$A,ROW()-1)&gt;0,VLOOKUP(ROW()-1,Дела!$A:$I,9,0),"")</f>
        <v>ООО "УК РЭУ № 53"</v>
      </c>
      <c r="E239" s="11" t="str">
        <f t="shared" si="3"/>
        <v>Ричард Георгиевич</v>
      </c>
      <c r="F239" s="12">
        <f>IF(COUNTIF(Дела!$A:$A,ROW()-1)&gt;0,VLOOKUP(ROW()-1,Дела!$A:$M,13,0),"")</f>
        <v>1944847.87</v>
      </c>
      <c r="G239" s="13">
        <f>IF(COUNTIF(Дела!$A:$A,ROW()-1)&gt;0,VLOOKUP(ROW()-1,Дела!$A:$N,14,0),"")</f>
        <v>45344</v>
      </c>
      <c r="H239" s="11" t="str">
        <f>IF(COUNTIF(Дела!$A:$A,ROW()-1)&gt;0,VLOOKUP(ROW()-1,Дела!$A:$K,11,0),"")</f>
        <v>Павлов Ричард Георгиевич</v>
      </c>
    </row>
    <row r="240" spans="1:8" ht="30" x14ac:dyDescent="0.25">
      <c r="A240" s="11">
        <f>IF(COUNTIF(Дела!$A:$A,ROW()-1)&gt;0,VLOOKUP(ROW()-1,Дела!$A:$C,3,0),"")</f>
        <v>0</v>
      </c>
      <c r="B240" s="11" t="str">
        <f>IF(COUNTIF(Дела!$A:$A,ROW()-1)&gt;0,VLOOKUP(ROW()-1,Дела!$A:$F,6,0),"")</f>
        <v>А41-14960/2024</v>
      </c>
      <c r="C240" s="11" t="str">
        <f>IF(COUNTIF(Дела!$A:$A,ROW()-1)&gt;0,VLOOKUP(ROW()-1,Дела!$A:$G,7,0),"")</f>
        <v>ООО "Комета-а"</v>
      </c>
      <c r="D240" s="11" t="str">
        <f>IF(COUNTIF(Дела!$A:$A,ROW()-1)&gt;0,VLOOKUP(ROW()-1,Дела!$A:$I,9,0),"")</f>
        <v>ООО "ПСК"</v>
      </c>
      <c r="E240" s="11" t="str">
        <f t="shared" si="3"/>
        <v>Наталья Александровна</v>
      </c>
      <c r="F240" s="12">
        <f>IF(COUNTIF(Дела!$A:$A,ROW()-1)&gt;0,VLOOKUP(ROW()-1,Дела!$A:$M,13,0),"")</f>
        <v>725013</v>
      </c>
      <c r="G240" s="13">
        <f>IF(COUNTIF(Дела!$A:$A,ROW()-1)&gt;0,VLOOKUP(ROW()-1,Дела!$A:$N,14,0),"")</f>
        <v>45344</v>
      </c>
      <c r="H240" s="11" t="str">
        <f>IF(COUNTIF(Дела!$A:$A,ROW()-1)&gt;0,VLOOKUP(ROW()-1,Дела!$A:$K,11,0),"")</f>
        <v>Молькова Наталья Александровна</v>
      </c>
    </row>
    <row r="241" spans="1:8" ht="240" x14ac:dyDescent="0.25">
      <c r="A241" s="11" t="str">
        <f>IF(COUNTIF(Дела!$A:$A,ROW()-1)&gt;0,VLOOKUP(ROW()-1,Дела!$A:$C,3,0),"")</f>
        <v>+7 (846) 205-99-55_x000D_
+7 (495) 223-77-22_x000D_
+7 (846) 205-99-55, доб 102_x000D_
+7 (846) 240-97-90_x000D_
+7 (846) 205-99-55, доб 25_x000D_
+7 (846) 205-99-55, доб 250_x000D_
+7 (987) 950-43-00_x000D_
+7 (846) 205-99-55, доб 303</v>
      </c>
      <c r="B241" s="11" t="str">
        <f>IF(COUNTIF(Дела!$A:$A,ROW()-1)&gt;0,VLOOKUP(ROW()-1,Дела!$A:$F,6,0),"")</f>
        <v>А40-36400/2024</v>
      </c>
      <c r="C241" s="11" t="str">
        <f>IF(COUNTIF(Дела!$A:$A,ROW()-1)&gt;0,VLOOKUP(ROW()-1,Дела!$A:$G,7,0),"")</f>
        <v>ООО "Тис Лоджистик"</v>
      </c>
      <c r="D241" s="11" t="str">
        <f>IF(COUNTIF(Дела!$A:$A,ROW()-1)&gt;0,VLOOKUP(ROW()-1,Дела!$A:$I,9,0),"")</f>
        <v>ООО "Эколос-Проектстрой"</v>
      </c>
      <c r="E241" s="11" t="str">
        <f t="shared" si="3"/>
        <v>Николай Евгеньевич</v>
      </c>
      <c r="F241" s="12">
        <f>IF(COUNTIF(Дела!$A:$A,ROW()-1)&gt;0,VLOOKUP(ROW()-1,Дела!$A:$M,13,0),"")</f>
        <v>506932.1</v>
      </c>
      <c r="G241" s="13">
        <f>IF(COUNTIF(Дела!$A:$A,ROW()-1)&gt;0,VLOOKUP(ROW()-1,Дела!$A:$N,14,0),"")</f>
        <v>45344</v>
      </c>
      <c r="H241" s="11" t="str">
        <f>IF(COUNTIF(Дела!$A:$A,ROW()-1)&gt;0,VLOOKUP(ROW()-1,Дела!$A:$K,11,0),"")</f>
        <v>Потапов Николай Евгеньевич</v>
      </c>
    </row>
    <row r="242" spans="1:8" ht="60" x14ac:dyDescent="0.25">
      <c r="A242" s="11">
        <f>IF(COUNTIF(Дела!$A:$A,ROW()-1)&gt;0,VLOOKUP(ROW()-1,Дела!$A:$C,3,0),"")</f>
        <v>0</v>
      </c>
      <c r="B242" s="11" t="str">
        <f>IF(COUNTIF(Дела!$A:$A,ROW()-1)&gt;0,VLOOKUP(ROW()-1,Дела!$A:$F,6,0),"")</f>
        <v>А40-36315/2024</v>
      </c>
      <c r="C242" s="11" t="str">
        <f>IF(COUNTIF(Дела!$A:$A,ROW()-1)&gt;0,VLOOKUP(ROW()-1,Дела!$A:$G,7,0),"")</f>
        <v>АО МФК "МК"</v>
      </c>
      <c r="D242" s="11" t="str">
        <f>IF(COUNTIF(Дела!$A:$A,ROW()-1)&gt;0,VLOOKUP(ROW()-1,Дела!$A:$I,9,0),"")</f>
        <v>ИП Гаджимагомедов Магомед Сиражутдинович</v>
      </c>
      <c r="E242" s="11" t="str">
        <f t="shared" si="3"/>
        <v>Магомед Сиражутдинович</v>
      </c>
      <c r="F242" s="12">
        <f>IF(COUNTIF(Дела!$A:$A,ROW()-1)&gt;0,VLOOKUP(ROW()-1,Дела!$A:$M,13,0),"")</f>
        <v>836250.72</v>
      </c>
      <c r="G242" s="13">
        <f>IF(COUNTIF(Дела!$A:$A,ROW()-1)&gt;0,VLOOKUP(ROW()-1,Дела!$A:$N,14,0),"")</f>
        <v>45344</v>
      </c>
      <c r="H242" s="11" t="str">
        <f>IF(COUNTIF(Дела!$A:$A,ROW()-1)&gt;0,VLOOKUP(ROW()-1,Дела!$A:$K,11,0),"")</f>
        <v>Гаджимагомедов Магомед Сиражутдинович</v>
      </c>
    </row>
    <row r="243" spans="1:8" ht="30" x14ac:dyDescent="0.25">
      <c r="A243" s="11">
        <f>IF(COUNTIF(Дела!$A:$A,ROW()-1)&gt;0,VLOOKUP(ROW()-1,Дела!$A:$C,3,0),"")</f>
        <v>0</v>
      </c>
      <c r="B243" s="11" t="str">
        <f>IF(COUNTIF(Дела!$A:$A,ROW()-1)&gt;0,VLOOKUP(ROW()-1,Дела!$A:$F,6,0),"")</f>
        <v>А40-36302/2024</v>
      </c>
      <c r="C243" s="11" t="str">
        <f>IF(COUNTIF(Дела!$A:$A,ROW()-1)&gt;0,VLOOKUP(ROW()-1,Дела!$A:$G,7,0),"")</f>
        <v>ООО "Бауинвест"</v>
      </c>
      <c r="D243" s="11" t="str">
        <f>IF(COUNTIF(Дела!$A:$A,ROW()-1)&gt;0,VLOOKUP(ROW()-1,Дела!$A:$I,9,0),"")</f>
        <v>ООО "ТПК-СМ"</v>
      </c>
      <c r="E243" s="11" t="str">
        <f t="shared" si="3"/>
        <v>Александр Геннадьевич</v>
      </c>
      <c r="F243" s="12">
        <f>IF(COUNTIF(Дела!$A:$A,ROW()-1)&gt;0,VLOOKUP(ROW()-1,Дела!$A:$M,13,0),"")</f>
        <v>6347821.0199999996</v>
      </c>
      <c r="G243" s="13">
        <f>IF(COUNTIF(Дела!$A:$A,ROW()-1)&gt;0,VLOOKUP(ROW()-1,Дела!$A:$N,14,0),"")</f>
        <v>45344</v>
      </c>
      <c r="H243" s="11" t="str">
        <f>IF(COUNTIF(Дела!$A:$A,ROW()-1)&gt;0,VLOOKUP(ROW()-1,Дела!$A:$K,11,0),"")</f>
        <v>Сафронов Александр Геннадьевич</v>
      </c>
    </row>
    <row r="244" spans="1:8" ht="120" x14ac:dyDescent="0.25">
      <c r="A244" s="11" t="str">
        <f>IF(COUNTIF(Дела!$A:$A,ROW()-1)&gt;0,VLOOKUP(ROW()-1,Дела!$A:$C,3,0),"")</f>
        <v>+7 (495) 673-35-45_x000D_
+7 (495) 933-44-96_x000D_
+7 (926) 640-97-32_x000D_
+7 (495) 181-69-67</v>
      </c>
      <c r="B244" s="11" t="str">
        <f>IF(COUNTIF(Дела!$A:$A,ROW()-1)&gt;0,VLOOKUP(ROW()-1,Дела!$A:$F,6,0),"")</f>
        <v>А40-35745/2024</v>
      </c>
      <c r="C244" s="11" t="str">
        <f>IF(COUNTIF(Дела!$A:$A,ROW()-1)&gt;0,VLOOKUP(ROW()-1,Дела!$A:$G,7,0),"")</f>
        <v>АО "ГУОВ"</v>
      </c>
      <c r="D244" s="11" t="str">
        <f>IF(COUNTIF(Дела!$A:$A,ROW()-1)&gt;0,VLOOKUP(ROW()-1,Дела!$A:$I,9,0),"")</f>
        <v>ООО "МСК-Строй"</v>
      </c>
      <c r="E244" s="11" t="str">
        <f t="shared" si="3"/>
        <v>Виталий Валерьевич</v>
      </c>
      <c r="F244" s="12">
        <f>IF(COUNTIF(Дела!$A:$A,ROW()-1)&gt;0,VLOOKUP(ROW()-1,Дела!$A:$M,13,0),"")</f>
        <v>764484.97</v>
      </c>
      <c r="G244" s="13">
        <f>IF(COUNTIF(Дела!$A:$A,ROW()-1)&gt;0,VLOOKUP(ROW()-1,Дела!$A:$N,14,0),"")</f>
        <v>45343</v>
      </c>
      <c r="H244" s="11" t="str">
        <f>IF(COUNTIF(Дела!$A:$A,ROW()-1)&gt;0,VLOOKUP(ROW()-1,Дела!$A:$K,11,0),"")</f>
        <v>Сущеня Виталий Валерьевич</v>
      </c>
    </row>
    <row r="245" spans="1:8" ht="45" x14ac:dyDescent="0.25">
      <c r="A245" s="11">
        <f>IF(COUNTIF(Дела!$A:$A,ROW()-1)&gt;0,VLOOKUP(ROW()-1,Дела!$A:$C,3,0),"")</f>
        <v>0</v>
      </c>
      <c r="B245" s="11" t="str">
        <f>IF(COUNTIF(Дела!$A:$A,ROW()-1)&gt;0,VLOOKUP(ROW()-1,Дела!$A:$F,6,0),"")</f>
        <v>А40-35504/2024</v>
      </c>
      <c r="C245" s="11" t="str">
        <f>IF(COUNTIF(Дела!$A:$A,ROW()-1)&gt;0,VLOOKUP(ROW()-1,Дела!$A:$G,7,0),"")</f>
        <v>ООО "Международное РТВ"</v>
      </c>
      <c r="D245" s="11">
        <f>IF(COUNTIF(Дела!$A:$A,ROW()-1)&gt;0,VLOOKUP(ROW()-1,Дела!$A:$I,9,0),"")</f>
        <v>0</v>
      </c>
      <c r="E245" s="11" t="e">
        <f t="shared" si="3"/>
        <v>#VALUE!</v>
      </c>
      <c r="F245" s="12">
        <f>IF(COUNTIF(Дела!$A:$A,ROW()-1)&gt;0,VLOOKUP(ROW()-1,Дела!$A:$M,13,0),"")</f>
        <v>6389046.2199999997</v>
      </c>
      <c r="G245" s="13">
        <f>IF(COUNTIF(Дела!$A:$A,ROW()-1)&gt;0,VLOOKUP(ROW()-1,Дела!$A:$N,14,0),"")</f>
        <v>45343</v>
      </c>
      <c r="H245" s="11">
        <f>IF(COUNTIF(Дела!$A:$A,ROW()-1)&gt;0,VLOOKUP(ROW()-1,Дела!$A:$K,11,0),"")</f>
        <v>0</v>
      </c>
    </row>
    <row r="246" spans="1:8" ht="409.5" x14ac:dyDescent="0.25">
      <c r="A246" s="11" t="str">
        <f>IF(COUNTIF(Дела!$A:$A,ROW()-1)&gt;0,VLOOKUP(ROW()-1,Дела!$A:$C,3,0),"")</f>
        <v>+7 (499) 262-99-01_x000D_
+7 (499) 262-10-02_x000D_
8 (800) 775-00-00_x000D_
+7 (4852) 52-18-30_x000D_
+7 (3012) 28-25-04_x000D_
+7 (3022) 22-33-05_x000D_
+7 (3022) 22-46-03_x000D_
+7 (3022) 22-46-72_x000D_
+7 (3022) 22-75-05_x000D_
+7 (3022) 24-18-00_x000D_
+7 (3022) 24-22-25_x000D_
+7 (3022) 24-45-58_x000D_
+7 (30241) 2-40-54_x000D_
+7 (342) 230-22-25_x000D_
+7 (343) 358-22-25_x000D_
+7 (343) 358-22-60_x000D_
+7 (343) 358-29-32_x000D_
+7 (343) 358-40-88_x000D_
+7 (343) 358-44-00_x000D_
+7 (343) 358-48-10_x000D_
+7 (343) 358-48-48_x000D_
+7 (343) 358-48-89_x000D_
+7 (343) 358-57-27_x000D_
+7 (343) 380-14-74_x000D_
+7 (343) 380-17-54_x000D_
+7 (3435) 49-42-39_x000D_
+7 (3452) 52-31-40_x000D_
+7 (3452) 52-38-48_x000D_
+7 (3462) 39-35-33_x000D_
+7 (347) 229-63-15_x000D_
+7 (347) 253-14-52_x000D_
+7 (351) 259-29-04_x000D_
+7 (351) 263-84-82_x000D_
+7 (351) 268-21-40_x000D_
+7 (351) 268-39-12_x000D_
+7 (351) 268-65-09_x000D_
+7 (3513) 69-21-40_x000D_
+7 (3812) 44-30-79_x000D_
+7 (383) 229-20-20_x000D_
+7 (383) 229-36-02_x000D_
+7 (383) 229-48-02_x000D_
+7 (383) 229-50-27_x000D_
+7 (383) 334-02-43_x000D_
+7 (3842) 32-23-79_x000D_
+7 (3842) 32-39-50_x000D_
+7 (3852) 29-20-48_x000D_
+7 (3902) 29-45-66_x000D_
+7 (3912) 23-13-28_x000D_
+7 (3912) 48-04-35_x000D_
+7 (3912) 48-05-59_x000D_
+7 (3912) 59-52-98_x000D_
+7 (3952) 63-22-46_x000D_
+7 (3952) 63-42-66_x000D_
+7 (3952) 63-84-79_x000D_
+7 (3952) 64-42-46_x000D_
+7 (3952) 64-48-48_x000D_
+7 (3952) 64-51-55_x000D_
+7 (3953) 49-79-79_x000D_
+7 (4012) 58-61-01_x000D_
+7 (4012) 58-72-02_x000D_
+7 (41656) 7-20-00_x000D_
+7 (4212) 38-12-27_x000D_
+7 (4212) 38-37-18_x000D_
+7 (4212) 38-38-80_x000D_
+7 (4212) 38-41-36_x000D_
+7 (4212) 38-47-19_x000D_
+7 (4212) 38-48-43_x000D_
+7 (4212) 38-48-48_x000D_
+7 (4212) 38-53-57_x000D_
+7 (4212) 38-81-91_x000D_
+7 (4212) 38-88-34_x000D_
+7 (4712) 55-23-00_x000D_
+7 (4712) 55-57-54_x000D_
+7 (4722) 76-03-04_x000D_
+7 (4722) 76-05-25_x000D_
+7 (4732) 48-83-14_x000D_
+7 (4732) 65-08-10_x000D_
+7 (4732) 65-08-28_x000D_
+7 (4732) 65-22-64_x000D_
+7 (4732) 65-23-51_x000D_
+7 (4732) 65-28-32_x000D_
+7 (4732) 65-38-34_x000D_
+7 (4732) 65-44-50_x000D_
+7 (4732) 65-66-22_x000D_
+7 (4732) 65-72-81_x000D_
+7 (47391) 4-17-26_x000D_
+7 (47391) 7-59-64_x000D_
+7 (47545) 3-21-40_x000D_
+7 (47545) 3-22-76_x000D_
+7 (4812) 39-52-25_x000D_
+7 (4842) 78-52-95_x000D_
+7 (4852) 49-50-02_x000D_
+7 (4852) 52-40-86_x000D_
+7 (4852) 52-52-43_x000D_
+7 (4852) 79-22-41_x000D_
+7 (4852) 79-35-60_x000D_
+7 (4852) 79-43-14_x000D_
+7 (4852) 79-44-00_x000D_
+7 (4872) 20-20-80_x000D_
+7 (4872) 20-20-93</v>
      </c>
      <c r="B246" s="11" t="str">
        <f>IF(COUNTIF(Дела!$A:$A,ROW()-1)&gt;0,VLOOKUP(ROW()-1,Дела!$A:$F,6,0),"")</f>
        <v>А40-35189/2024</v>
      </c>
      <c r="C246" s="11" t="str">
        <f>IF(COUNTIF(Дела!$A:$A,ROW()-1)&gt;0,VLOOKUP(ROW()-1,Дела!$A:$G,7,0),"")</f>
        <v>ООО "Новоморснаб"</v>
      </c>
      <c r="D246" s="11" t="str">
        <f>IF(COUNTIF(Дела!$A:$A,ROW()-1)&gt;0,VLOOKUP(ROW()-1,Дела!$A:$I,9,0),"")</f>
        <v>ОАО "РЖД"</v>
      </c>
      <c r="E246" s="11" t="str">
        <f t="shared" si="3"/>
        <v>Олег Валентинович</v>
      </c>
      <c r="F246" s="12">
        <f>IF(COUNTIF(Дела!$A:$A,ROW()-1)&gt;0,VLOOKUP(ROW()-1,Дела!$A:$M,13,0),"")</f>
        <v>1526700.08</v>
      </c>
      <c r="G246" s="13">
        <f>IF(COUNTIF(Дела!$A:$A,ROW()-1)&gt;0,VLOOKUP(ROW()-1,Дела!$A:$N,14,0),"")</f>
        <v>45343</v>
      </c>
      <c r="H246" s="11" t="str">
        <f>IF(COUNTIF(Дела!$A:$A,ROW()-1)&gt;0,VLOOKUP(ROW()-1,Дела!$A:$K,11,0),"")</f>
        <v>Белозёров Олег Валентинович</v>
      </c>
    </row>
    <row r="247" spans="1:8" ht="409.5" x14ac:dyDescent="0.25">
      <c r="A247" s="11" t="str">
        <f>IF(COUNTIF(Дела!$A:$A,ROW()-1)&gt;0,VLOOKUP(ROW()-1,Дела!$A:$C,3,0),"")</f>
        <v>+7 (495) 004-50-44_x000D_
+7 (495) 004-50-44, доб 1025_x000D_
+7 (495) 123-45-67_x000D_
+7 (495) 710-75-89_x000D_
+7 (495) 004-50-44, доб 1009_x000D_
+7 (985) 990-95-30_x000D_
+7 (495) 604-50-44_x000D_
+7 (495) 604-40-44_x000D_
+7 (495) 004-50-04_x000D_
+7 (4852) 67-98-04_x000D_
+7 (495) 111-11-11_x000D_
+7 (495) 660-92-60_x000D_
+7 (495) 004-50-44, доб 1003_x000D_
+7 (495) 000-45-04, доб 4_x000D_
+7 (499) 400-25-12_x000D_
+7 (495) 004-40-44_x000D_
+7 (495) 044-50-44_x000D_
+7 (499) 261-82-00_x000D_
+7 (495) 522-10-97_x000D_
+7 (495) 004-20-44_x000D_
+7 (495) 522-09-77</v>
      </c>
      <c r="B247" s="11" t="str">
        <f>IF(COUNTIF(Дела!$A:$A,ROW()-1)&gt;0,VLOOKUP(ROW()-1,Дела!$A:$F,6,0),"")</f>
        <v>А40-36910/2024</v>
      </c>
      <c r="C247" s="11" t="str">
        <f>IF(COUNTIF(Дела!$A:$A,ROW()-1)&gt;0,VLOOKUP(ROW()-1,Дела!$A:$G,7,0),"")</f>
        <v>ООО "Автошума.Нет"</v>
      </c>
      <c r="D247" s="11" t="str">
        <f>IF(COUNTIF(Дела!$A:$A,ROW()-1)&gt;0,VLOOKUP(ROW()-1,Дела!$A:$I,9,0),"")</f>
        <v>АО "ГК "ЕКС"</v>
      </c>
      <c r="E247" s="11" t="str">
        <f t="shared" si="3"/>
        <v>Алексей Евгеньевич</v>
      </c>
      <c r="F247" s="12">
        <f>IF(COUNTIF(Дела!$A:$A,ROW()-1)&gt;0,VLOOKUP(ROW()-1,Дела!$A:$M,13,0),"")</f>
        <v>2843925.8</v>
      </c>
      <c r="G247" s="13">
        <f>IF(COUNTIF(Дела!$A:$A,ROW()-1)&gt;0,VLOOKUP(ROW()-1,Дела!$A:$N,14,0),"")</f>
        <v>45344</v>
      </c>
      <c r="H247" s="11" t="str">
        <f>IF(COUNTIF(Дела!$A:$A,ROW()-1)&gt;0,VLOOKUP(ROW()-1,Дела!$A:$K,11,0),"")</f>
        <v>Власов Алексей Евгеньевич</v>
      </c>
    </row>
    <row r="248" spans="1:8" ht="30" x14ac:dyDescent="0.25">
      <c r="A248" s="11" t="str">
        <f>IF(COUNTIF(Дела!$A:$A,ROW()-1)&gt;0,VLOOKUP(ROW()-1,Дела!$A:$C,3,0),"")</f>
        <v>+7 (83192) 3-75-34</v>
      </c>
      <c r="B248" s="11" t="str">
        <f>IF(COUNTIF(Дела!$A:$A,ROW()-1)&gt;0,VLOOKUP(ROW()-1,Дела!$A:$F,6,0),"")</f>
        <v>А40-36569/2024</v>
      </c>
      <c r="C248" s="11" t="str">
        <f>IF(COUNTIF(Дела!$A:$A,ROW()-1)&gt;0,VLOOKUP(ROW()-1,Дела!$A:$G,7,0),"")</f>
        <v>АО "Росагролизинг"</v>
      </c>
      <c r="D248" s="11" t="str">
        <f>IF(COUNTIF(Дела!$A:$A,ROW()-1)&gt;0,VLOOKUP(ROW()-1,Дела!$A:$I,9,0),"")</f>
        <v>СПК "Сура"</v>
      </c>
      <c r="E248" s="11" t="str">
        <f t="shared" si="3"/>
        <v>Алексей Сергеевич</v>
      </c>
      <c r="F248" s="12">
        <f>IF(COUNTIF(Дела!$A:$A,ROW()-1)&gt;0,VLOOKUP(ROW()-1,Дела!$A:$M,13,0),"")</f>
        <v>1095665.29</v>
      </c>
      <c r="G248" s="13">
        <f>IF(COUNTIF(Дела!$A:$A,ROW()-1)&gt;0,VLOOKUP(ROW()-1,Дела!$A:$N,14,0),"")</f>
        <v>45344</v>
      </c>
      <c r="H248" s="11" t="str">
        <f>IF(COUNTIF(Дела!$A:$A,ROW()-1)&gt;0,VLOOKUP(ROW()-1,Дела!$A:$K,11,0),"")</f>
        <v>Коротков Алексей Сергеевич</v>
      </c>
    </row>
    <row r="249" spans="1:8" ht="60" x14ac:dyDescent="0.25">
      <c r="A249" s="11" t="str">
        <f>IF(COUNTIF(Дела!$A:$A,ROW()-1)&gt;0,VLOOKUP(ROW()-1,Дела!$A:$C,3,0),"")</f>
        <v>+7 (921) 186-58-28_x000D_
+7 (952) 239-85-81</v>
      </c>
      <c r="B249" s="11" t="str">
        <f>IF(COUNTIF(Дела!$A:$A,ROW()-1)&gt;0,VLOOKUP(ROW()-1,Дела!$A:$F,6,0),"")</f>
        <v>А40-36723/2024</v>
      </c>
      <c r="C249" s="11" t="str">
        <f>IF(COUNTIF(Дела!$A:$A,ROW()-1)&gt;0,VLOOKUP(ROW()-1,Дела!$A:$G,7,0),"")</f>
        <v>ООО "Газпромбанк Автолизинг"</v>
      </c>
      <c r="D249" s="11" t="str">
        <f>IF(COUNTIF(Дела!$A:$A,ROW()-1)&gt;0,VLOOKUP(ROW()-1,Дела!$A:$I,9,0),"")</f>
        <v>ООО "Империя"</v>
      </c>
      <c r="E249" s="11" t="str">
        <f t="shared" si="3"/>
        <v>Сюзанна Павловна</v>
      </c>
      <c r="F249" s="12">
        <f>IF(COUNTIF(Дела!$A:$A,ROW()-1)&gt;0,VLOOKUP(ROW()-1,Дела!$A:$M,13,0),"")</f>
        <v>504723.4</v>
      </c>
      <c r="G249" s="13">
        <f>IF(COUNTIF(Дела!$A:$A,ROW()-1)&gt;0,VLOOKUP(ROW()-1,Дела!$A:$N,14,0),"")</f>
        <v>45344</v>
      </c>
      <c r="H249" s="11" t="str">
        <f>IF(COUNTIF(Дела!$A:$A,ROW()-1)&gt;0,VLOOKUP(ROW()-1,Дела!$A:$K,11,0),"")</f>
        <v>Кицул Сюзанна Павловна</v>
      </c>
    </row>
    <row r="250" spans="1:8" ht="45" x14ac:dyDescent="0.25">
      <c r="A250" s="11">
        <f>IF(COUNTIF(Дела!$A:$A,ROW()-1)&gt;0,VLOOKUP(ROW()-1,Дела!$A:$C,3,0),"")</f>
        <v>0</v>
      </c>
      <c r="B250" s="11" t="str">
        <f>IF(COUNTIF(Дела!$A:$A,ROW()-1)&gt;0,VLOOKUP(ROW()-1,Дела!$A:$F,6,0),"")</f>
        <v>А40-36793/2024</v>
      </c>
      <c r="C250" s="11" t="str">
        <f>IF(COUNTIF(Дела!$A:$A,ROW()-1)&gt;0,VLOOKUP(ROW()-1,Дела!$A:$G,7,0),"")</f>
        <v>ООО "Астерия Логистик"</v>
      </c>
      <c r="D250" s="11" t="str">
        <f>IF(COUNTIF(Дела!$A:$A,ROW()-1)&gt;0,VLOOKUP(ROW()-1,Дела!$A:$I,9,0),"")</f>
        <v>ООО "Мерсим"</v>
      </c>
      <c r="E250" s="11" t="str">
        <f t="shared" si="3"/>
        <v>Александра Александровна</v>
      </c>
      <c r="F250" s="12">
        <f>IF(COUNTIF(Дела!$A:$A,ROW()-1)&gt;0,VLOOKUP(ROW()-1,Дела!$A:$M,13,0),"")</f>
        <v>3916087.05</v>
      </c>
      <c r="G250" s="13">
        <f>IF(COUNTIF(Дела!$A:$A,ROW()-1)&gt;0,VLOOKUP(ROW()-1,Дела!$A:$N,14,0),"")</f>
        <v>45344</v>
      </c>
      <c r="H250" s="11" t="str">
        <f>IF(COUNTIF(Дела!$A:$A,ROW()-1)&gt;0,VLOOKUP(ROW()-1,Дела!$A:$K,11,0),"")</f>
        <v>Мазурина Александра Александровна</v>
      </c>
    </row>
    <row r="251" spans="1:8" ht="30" x14ac:dyDescent="0.25">
      <c r="A251" s="11" t="str">
        <f>IF(COUNTIF(Дела!$A:$A,ROW()-1)&gt;0,VLOOKUP(ROW()-1,Дела!$A:$C,3,0),"")</f>
        <v>+7 (495) 134-55-89</v>
      </c>
      <c r="B251" s="11" t="str">
        <f>IF(COUNTIF(Дела!$A:$A,ROW()-1)&gt;0,VLOOKUP(ROW()-1,Дела!$A:$F,6,0),"")</f>
        <v>А40-36772/2024</v>
      </c>
      <c r="C251" s="11" t="str">
        <f>IF(COUNTIF(Дела!$A:$A,ROW()-1)&gt;0,VLOOKUP(ROW()-1,Дела!$A:$G,7,0),"")</f>
        <v>ООО "Торговый Центр"</v>
      </c>
      <c r="D251" s="11" t="str">
        <f>IF(COUNTIF(Дела!$A:$A,ROW()-1)&gt;0,VLOOKUP(ROW()-1,Дела!$A:$I,9,0),"")</f>
        <v>ООО "Металлэксперт"</v>
      </c>
      <c r="E251" s="11" t="str">
        <f t="shared" si="3"/>
        <v>Эдуард Валерьевич</v>
      </c>
      <c r="F251" s="12">
        <f>IF(COUNTIF(Дела!$A:$A,ROW()-1)&gt;0,VLOOKUP(ROW()-1,Дела!$A:$M,13,0),"")</f>
        <v>8302839</v>
      </c>
      <c r="G251" s="13">
        <f>IF(COUNTIF(Дела!$A:$A,ROW()-1)&gt;0,VLOOKUP(ROW()-1,Дела!$A:$N,14,0),"")</f>
        <v>45344</v>
      </c>
      <c r="H251" s="11" t="str">
        <f>IF(COUNTIF(Дела!$A:$A,ROW()-1)&gt;0,VLOOKUP(ROW()-1,Дела!$A:$K,11,0),"")</f>
        <v>Залученов Эдуард Валерьевич</v>
      </c>
    </row>
    <row r="252" spans="1:8" x14ac:dyDescent="0.25">
      <c r="A252" s="11" t="str">
        <f>IF(COUNTIF(Дела!$A:$A,ROW()-1)&gt;0,VLOOKUP(ROW()-1,Дела!$A:$C,3,0),"")</f>
        <v/>
      </c>
      <c r="B252" s="11" t="str">
        <f>IF(COUNTIF(Дела!$A:$A,ROW()-1)&gt;0,VLOOKUP(ROW()-1,Дела!$A:$F,6,0),"")</f>
        <v/>
      </c>
      <c r="C252" s="11" t="str">
        <f>IF(COUNTIF(Дела!$A:$A,ROW()-1)&gt;0,VLOOKUP(ROW()-1,Дела!$A:$G,7,0),"")</f>
        <v/>
      </c>
      <c r="D252" s="11" t="str">
        <f>IF(COUNTIF(Дела!$A:$A,ROW()-1)&gt;0,VLOOKUP(ROW()-1,Дела!$A:$I,9,0),"")</f>
        <v/>
      </c>
      <c r="E252" s="11" t="str">
        <f t="shared" si="3"/>
        <v/>
      </c>
      <c r="F252" s="12" t="str">
        <f>IF(COUNTIF(Дела!$A:$A,ROW()-1)&gt;0,VLOOKUP(ROW()-1,Дела!$A:$M,13,0),"")</f>
        <v/>
      </c>
      <c r="G252" s="13" t="str">
        <f>IF(COUNTIF(Дела!$A:$A,ROW()-1)&gt;0,VLOOKUP(ROW()-1,Дела!$A:$N,14,0),"")</f>
        <v/>
      </c>
      <c r="H252" s="11" t="str">
        <f>IF(COUNTIF(Дела!$A:$A,ROW()-1)&gt;0,VLOOKUP(ROW()-1,Дела!$A:$K,11,0),"")</f>
        <v/>
      </c>
    </row>
    <row r="253" spans="1:8" x14ac:dyDescent="0.25">
      <c r="A253" s="11" t="str">
        <f>IF(COUNTIF(Дела!$A:$A,ROW()-1)&gt;0,VLOOKUP(ROW()-1,Дела!$A:$C,3,0),"")</f>
        <v/>
      </c>
      <c r="B253" s="11" t="str">
        <f>IF(COUNTIF(Дела!$A:$A,ROW()-1)&gt;0,VLOOKUP(ROW()-1,Дела!$A:$F,6,0),"")</f>
        <v/>
      </c>
      <c r="C253" s="11" t="str">
        <f>IF(COUNTIF(Дела!$A:$A,ROW()-1)&gt;0,VLOOKUP(ROW()-1,Дела!$A:$G,7,0),"")</f>
        <v/>
      </c>
      <c r="D253" s="11" t="str">
        <f>IF(COUNTIF(Дела!$A:$A,ROW()-1)&gt;0,VLOOKUP(ROW()-1,Дела!$A:$I,9,0),"")</f>
        <v/>
      </c>
      <c r="E253" s="11" t="str">
        <f t="shared" si="3"/>
        <v/>
      </c>
      <c r="F253" s="12" t="str">
        <f>IF(COUNTIF(Дела!$A:$A,ROW()-1)&gt;0,VLOOKUP(ROW()-1,Дела!$A:$M,13,0),"")</f>
        <v/>
      </c>
      <c r="G253" s="13" t="str">
        <f>IF(COUNTIF(Дела!$A:$A,ROW()-1)&gt;0,VLOOKUP(ROW()-1,Дела!$A:$N,14,0),"")</f>
        <v/>
      </c>
      <c r="H253" s="11" t="str">
        <f>IF(COUNTIF(Дела!$A:$A,ROW()-1)&gt;0,VLOOKUP(ROW()-1,Дела!$A:$K,11,0),"")</f>
        <v/>
      </c>
    </row>
    <row r="254" spans="1:8" x14ac:dyDescent="0.25">
      <c r="A254" s="11" t="str">
        <f>IF(COUNTIF(Дела!$A:$A,ROW()-1)&gt;0,VLOOKUP(ROW()-1,Дела!$A:$C,3,0),"")</f>
        <v/>
      </c>
      <c r="B254" s="11" t="str">
        <f>IF(COUNTIF(Дела!$A:$A,ROW()-1)&gt;0,VLOOKUP(ROW()-1,Дела!$A:$F,6,0),"")</f>
        <v/>
      </c>
      <c r="C254" s="11" t="str">
        <f>IF(COUNTIF(Дела!$A:$A,ROW()-1)&gt;0,VLOOKUP(ROW()-1,Дела!$A:$G,7,0),"")</f>
        <v/>
      </c>
      <c r="D254" s="11" t="str">
        <f>IF(COUNTIF(Дела!$A:$A,ROW()-1)&gt;0,VLOOKUP(ROW()-1,Дела!$A:$I,9,0),"")</f>
        <v/>
      </c>
      <c r="E254" s="11" t="str">
        <f t="shared" si="3"/>
        <v/>
      </c>
      <c r="F254" s="12" t="str">
        <f>IF(COUNTIF(Дела!$A:$A,ROW()-1)&gt;0,VLOOKUP(ROW()-1,Дела!$A:$M,13,0),"")</f>
        <v/>
      </c>
      <c r="G254" s="13" t="str">
        <f>IF(COUNTIF(Дела!$A:$A,ROW()-1)&gt;0,VLOOKUP(ROW()-1,Дела!$A:$N,14,0),"")</f>
        <v/>
      </c>
      <c r="H254" s="11" t="str">
        <f>IF(COUNTIF(Дела!$A:$A,ROW()-1)&gt;0,VLOOKUP(ROW()-1,Дела!$A:$K,11,0),"")</f>
        <v/>
      </c>
    </row>
    <row r="255" spans="1:8" x14ac:dyDescent="0.25">
      <c r="A255" s="11" t="str">
        <f>IF(COUNTIF(Дела!$A:$A,ROW()-1)&gt;0,VLOOKUP(ROW()-1,Дела!$A:$C,3,0),"")</f>
        <v/>
      </c>
      <c r="B255" s="11" t="str">
        <f>IF(COUNTIF(Дела!$A:$A,ROW()-1)&gt;0,VLOOKUP(ROW()-1,Дела!$A:$F,6,0),"")</f>
        <v/>
      </c>
      <c r="C255" s="11" t="str">
        <f>IF(COUNTIF(Дела!$A:$A,ROW()-1)&gt;0,VLOOKUP(ROW()-1,Дела!$A:$G,7,0),"")</f>
        <v/>
      </c>
      <c r="D255" s="11" t="str">
        <f>IF(COUNTIF(Дела!$A:$A,ROW()-1)&gt;0,VLOOKUP(ROW()-1,Дела!$A:$I,9,0),"")</f>
        <v/>
      </c>
      <c r="E255" s="11" t="str">
        <f t="shared" si="3"/>
        <v/>
      </c>
      <c r="F255" s="12" t="str">
        <f>IF(COUNTIF(Дела!$A:$A,ROW()-1)&gt;0,VLOOKUP(ROW()-1,Дела!$A:$M,13,0),"")</f>
        <v/>
      </c>
      <c r="G255" s="13" t="str">
        <f>IF(COUNTIF(Дела!$A:$A,ROW()-1)&gt;0,VLOOKUP(ROW()-1,Дела!$A:$N,14,0),"")</f>
        <v/>
      </c>
      <c r="H255" s="11" t="str">
        <f>IF(COUNTIF(Дела!$A:$A,ROW()-1)&gt;0,VLOOKUP(ROW()-1,Дела!$A:$K,11,0),"")</f>
        <v/>
      </c>
    </row>
    <row r="256" spans="1:8" x14ac:dyDescent="0.25">
      <c r="A256" s="11" t="str">
        <f>IF(COUNTIF(Дела!$A:$A,ROW()-1)&gt;0,VLOOKUP(ROW()-1,Дела!$A:$C,3,0),"")</f>
        <v/>
      </c>
      <c r="B256" s="11" t="str">
        <f>IF(COUNTIF(Дела!$A:$A,ROW()-1)&gt;0,VLOOKUP(ROW()-1,Дела!$A:$F,6,0),"")</f>
        <v/>
      </c>
      <c r="C256" s="11" t="str">
        <f>IF(COUNTIF(Дела!$A:$A,ROW()-1)&gt;0,VLOOKUP(ROW()-1,Дела!$A:$G,7,0),"")</f>
        <v/>
      </c>
      <c r="D256" s="11" t="str">
        <f>IF(COUNTIF(Дела!$A:$A,ROW()-1)&gt;0,VLOOKUP(ROW()-1,Дела!$A:$I,9,0),"")</f>
        <v/>
      </c>
      <c r="E256" s="11" t="str">
        <f t="shared" si="3"/>
        <v/>
      </c>
      <c r="F256" s="12" t="str">
        <f>IF(COUNTIF(Дела!$A:$A,ROW()-1)&gt;0,VLOOKUP(ROW()-1,Дела!$A:$M,13,0),"")</f>
        <v/>
      </c>
      <c r="G256" s="13" t="str">
        <f>IF(COUNTIF(Дела!$A:$A,ROW()-1)&gt;0,VLOOKUP(ROW()-1,Дела!$A:$N,14,0),"")</f>
        <v/>
      </c>
      <c r="H256" s="11" t="str">
        <f>IF(COUNTIF(Дела!$A:$A,ROW()-1)&gt;0,VLOOKUP(ROW()-1,Дела!$A:$K,11,0),"")</f>
        <v/>
      </c>
    </row>
    <row r="257" spans="1:8" x14ac:dyDescent="0.25">
      <c r="A257" s="11" t="str">
        <f>IF(COUNTIF(Дела!$A:$A,ROW()-1)&gt;0,VLOOKUP(ROW()-1,Дела!$A:$C,3,0),"")</f>
        <v/>
      </c>
      <c r="B257" s="11" t="str">
        <f>IF(COUNTIF(Дела!$A:$A,ROW()-1)&gt;0,VLOOKUP(ROW()-1,Дела!$A:$F,6,0),"")</f>
        <v/>
      </c>
      <c r="C257" s="11" t="str">
        <f>IF(COUNTIF(Дела!$A:$A,ROW()-1)&gt;0,VLOOKUP(ROW()-1,Дела!$A:$G,7,0),"")</f>
        <v/>
      </c>
      <c r="D257" s="11" t="str">
        <f>IF(COUNTIF(Дела!$A:$A,ROW()-1)&gt;0,VLOOKUP(ROW()-1,Дела!$A:$I,9,0),"")</f>
        <v/>
      </c>
      <c r="E257" s="11" t="str">
        <f t="shared" si="3"/>
        <v/>
      </c>
      <c r="F257" s="12" t="str">
        <f>IF(COUNTIF(Дела!$A:$A,ROW()-1)&gt;0,VLOOKUP(ROW()-1,Дела!$A:$M,13,0),"")</f>
        <v/>
      </c>
      <c r="G257" s="13" t="str">
        <f>IF(COUNTIF(Дела!$A:$A,ROW()-1)&gt;0,VLOOKUP(ROW()-1,Дела!$A:$N,14,0),"")</f>
        <v/>
      </c>
      <c r="H257" s="11" t="str">
        <f>IF(COUNTIF(Дела!$A:$A,ROW()-1)&gt;0,VLOOKUP(ROW()-1,Дела!$A:$K,11,0),"")</f>
        <v/>
      </c>
    </row>
    <row r="258" spans="1:8" x14ac:dyDescent="0.25">
      <c r="A258" s="11" t="str">
        <f>IF(COUNTIF(Дела!$A:$A,ROW()-1)&gt;0,VLOOKUP(ROW()-1,Дела!$A:$C,3,0),"")</f>
        <v/>
      </c>
      <c r="B258" s="11" t="str">
        <f>IF(COUNTIF(Дела!$A:$A,ROW()-1)&gt;0,VLOOKUP(ROW()-1,Дела!$A:$F,6,0),"")</f>
        <v/>
      </c>
      <c r="C258" s="11" t="str">
        <f>IF(COUNTIF(Дела!$A:$A,ROW()-1)&gt;0,VLOOKUP(ROW()-1,Дела!$A:$G,7,0),"")</f>
        <v/>
      </c>
      <c r="D258" s="11" t="str">
        <f>IF(COUNTIF(Дела!$A:$A,ROW()-1)&gt;0,VLOOKUP(ROW()-1,Дела!$A:$I,9,0),"")</f>
        <v/>
      </c>
      <c r="E258" s="11" t="str">
        <f t="shared" si="3"/>
        <v/>
      </c>
      <c r="F258" s="12" t="str">
        <f>IF(COUNTIF(Дела!$A:$A,ROW()-1)&gt;0,VLOOKUP(ROW()-1,Дела!$A:$M,13,0),"")</f>
        <v/>
      </c>
      <c r="G258" s="13" t="str">
        <f>IF(COUNTIF(Дела!$A:$A,ROW()-1)&gt;0,VLOOKUP(ROW()-1,Дела!$A:$N,14,0),"")</f>
        <v/>
      </c>
      <c r="H258" s="11" t="str">
        <f>IF(COUNTIF(Дела!$A:$A,ROW()-1)&gt;0,VLOOKUP(ROW()-1,Дела!$A:$K,11,0),"")</f>
        <v/>
      </c>
    </row>
    <row r="259" spans="1:8" x14ac:dyDescent="0.25">
      <c r="A259" s="11" t="str">
        <f>IF(COUNTIF(Дела!$A:$A,ROW()-1)&gt;0,VLOOKUP(ROW()-1,Дела!$A:$C,3,0),"")</f>
        <v/>
      </c>
      <c r="B259" s="11" t="str">
        <f>IF(COUNTIF(Дела!$A:$A,ROW()-1)&gt;0,VLOOKUP(ROW()-1,Дела!$A:$F,6,0),"")</f>
        <v/>
      </c>
      <c r="C259" s="11" t="str">
        <f>IF(COUNTIF(Дела!$A:$A,ROW()-1)&gt;0,VLOOKUP(ROW()-1,Дела!$A:$G,7,0),"")</f>
        <v/>
      </c>
      <c r="D259" s="11" t="str">
        <f>IF(COUNTIF(Дела!$A:$A,ROW()-1)&gt;0,VLOOKUP(ROW()-1,Дела!$A:$I,9,0),"")</f>
        <v/>
      </c>
      <c r="E259" s="11" t="str">
        <f t="shared" ref="E259:E322" si="4">IF(H259="","",MID(H259,SEARCH(" ",H259)+1,1000))</f>
        <v/>
      </c>
      <c r="F259" s="12" t="str">
        <f>IF(COUNTIF(Дела!$A:$A,ROW()-1)&gt;0,VLOOKUP(ROW()-1,Дела!$A:$M,13,0),"")</f>
        <v/>
      </c>
      <c r="G259" s="13" t="str">
        <f>IF(COUNTIF(Дела!$A:$A,ROW()-1)&gt;0,VLOOKUP(ROW()-1,Дела!$A:$N,14,0),"")</f>
        <v/>
      </c>
      <c r="H259" s="11" t="str">
        <f>IF(COUNTIF(Дела!$A:$A,ROW()-1)&gt;0,VLOOKUP(ROW()-1,Дела!$A:$K,11,0),"")</f>
        <v/>
      </c>
    </row>
    <row r="260" spans="1:8" x14ac:dyDescent="0.25">
      <c r="A260" s="11" t="str">
        <f>IF(COUNTIF(Дела!$A:$A,ROW()-1)&gt;0,VLOOKUP(ROW()-1,Дела!$A:$C,3,0),"")</f>
        <v/>
      </c>
      <c r="B260" s="11" t="str">
        <f>IF(COUNTIF(Дела!$A:$A,ROW()-1)&gt;0,VLOOKUP(ROW()-1,Дела!$A:$F,6,0),"")</f>
        <v/>
      </c>
      <c r="C260" s="11" t="str">
        <f>IF(COUNTIF(Дела!$A:$A,ROW()-1)&gt;0,VLOOKUP(ROW()-1,Дела!$A:$G,7,0),"")</f>
        <v/>
      </c>
      <c r="D260" s="11" t="str">
        <f>IF(COUNTIF(Дела!$A:$A,ROW()-1)&gt;0,VLOOKUP(ROW()-1,Дела!$A:$I,9,0),"")</f>
        <v/>
      </c>
      <c r="E260" s="11" t="str">
        <f t="shared" si="4"/>
        <v/>
      </c>
      <c r="F260" s="12" t="str">
        <f>IF(COUNTIF(Дела!$A:$A,ROW()-1)&gt;0,VLOOKUP(ROW()-1,Дела!$A:$M,13,0),"")</f>
        <v/>
      </c>
      <c r="G260" s="13" t="str">
        <f>IF(COUNTIF(Дела!$A:$A,ROW()-1)&gt;0,VLOOKUP(ROW()-1,Дела!$A:$N,14,0),"")</f>
        <v/>
      </c>
      <c r="H260" s="11" t="str">
        <f>IF(COUNTIF(Дела!$A:$A,ROW()-1)&gt;0,VLOOKUP(ROW()-1,Дела!$A:$K,11,0),"")</f>
        <v/>
      </c>
    </row>
    <row r="261" spans="1:8" x14ac:dyDescent="0.25">
      <c r="A261" s="11" t="str">
        <f>IF(COUNTIF(Дела!$A:$A,ROW()-1)&gt;0,VLOOKUP(ROW()-1,Дела!$A:$C,3,0),"")</f>
        <v/>
      </c>
      <c r="B261" s="11" t="str">
        <f>IF(COUNTIF(Дела!$A:$A,ROW()-1)&gt;0,VLOOKUP(ROW()-1,Дела!$A:$F,6,0),"")</f>
        <v/>
      </c>
      <c r="C261" s="11" t="str">
        <f>IF(COUNTIF(Дела!$A:$A,ROW()-1)&gt;0,VLOOKUP(ROW()-1,Дела!$A:$G,7,0),"")</f>
        <v/>
      </c>
      <c r="D261" s="11" t="str">
        <f>IF(COUNTIF(Дела!$A:$A,ROW()-1)&gt;0,VLOOKUP(ROW()-1,Дела!$A:$I,9,0),"")</f>
        <v/>
      </c>
      <c r="E261" s="11" t="str">
        <f t="shared" si="4"/>
        <v/>
      </c>
      <c r="F261" s="12" t="str">
        <f>IF(COUNTIF(Дела!$A:$A,ROW()-1)&gt;0,VLOOKUP(ROW()-1,Дела!$A:$M,13,0),"")</f>
        <v/>
      </c>
      <c r="G261" s="13" t="str">
        <f>IF(COUNTIF(Дела!$A:$A,ROW()-1)&gt;0,VLOOKUP(ROW()-1,Дела!$A:$N,14,0),"")</f>
        <v/>
      </c>
      <c r="H261" s="11" t="str">
        <f>IF(COUNTIF(Дела!$A:$A,ROW()-1)&gt;0,VLOOKUP(ROW()-1,Дела!$A:$K,11,0),"")</f>
        <v/>
      </c>
    </row>
    <row r="262" spans="1:8" x14ac:dyDescent="0.25">
      <c r="A262" s="11" t="str">
        <f>IF(COUNTIF(Дела!$A:$A,ROW()-1)&gt;0,VLOOKUP(ROW()-1,Дела!$A:$C,3,0),"")</f>
        <v/>
      </c>
      <c r="B262" s="11" t="str">
        <f>IF(COUNTIF(Дела!$A:$A,ROW()-1)&gt;0,VLOOKUP(ROW()-1,Дела!$A:$F,6,0),"")</f>
        <v/>
      </c>
      <c r="C262" s="11" t="str">
        <f>IF(COUNTIF(Дела!$A:$A,ROW()-1)&gt;0,VLOOKUP(ROW()-1,Дела!$A:$G,7,0),"")</f>
        <v/>
      </c>
      <c r="D262" s="11" t="str">
        <f>IF(COUNTIF(Дела!$A:$A,ROW()-1)&gt;0,VLOOKUP(ROW()-1,Дела!$A:$I,9,0),"")</f>
        <v/>
      </c>
      <c r="E262" s="11" t="str">
        <f t="shared" si="4"/>
        <v/>
      </c>
      <c r="F262" s="12" t="str">
        <f>IF(COUNTIF(Дела!$A:$A,ROW()-1)&gt;0,VLOOKUP(ROW()-1,Дела!$A:$M,13,0),"")</f>
        <v/>
      </c>
      <c r="G262" s="13" t="str">
        <f>IF(COUNTIF(Дела!$A:$A,ROW()-1)&gt;0,VLOOKUP(ROW()-1,Дела!$A:$N,14,0),"")</f>
        <v/>
      </c>
      <c r="H262" s="11" t="str">
        <f>IF(COUNTIF(Дела!$A:$A,ROW()-1)&gt;0,VLOOKUP(ROW()-1,Дела!$A:$K,11,0),"")</f>
        <v/>
      </c>
    </row>
    <row r="263" spans="1:8" x14ac:dyDescent="0.25">
      <c r="A263" s="11" t="str">
        <f>IF(COUNTIF(Дела!$A:$A,ROW()-1)&gt;0,VLOOKUP(ROW()-1,Дела!$A:$C,3,0),"")</f>
        <v/>
      </c>
      <c r="B263" s="11" t="str">
        <f>IF(COUNTIF(Дела!$A:$A,ROW()-1)&gt;0,VLOOKUP(ROW()-1,Дела!$A:$F,6,0),"")</f>
        <v/>
      </c>
      <c r="C263" s="11" t="str">
        <f>IF(COUNTIF(Дела!$A:$A,ROW()-1)&gt;0,VLOOKUP(ROW()-1,Дела!$A:$G,7,0),"")</f>
        <v/>
      </c>
      <c r="D263" s="11" t="str">
        <f>IF(COUNTIF(Дела!$A:$A,ROW()-1)&gt;0,VLOOKUP(ROW()-1,Дела!$A:$I,9,0),"")</f>
        <v/>
      </c>
      <c r="E263" s="11" t="str">
        <f t="shared" si="4"/>
        <v/>
      </c>
      <c r="F263" s="12" t="str">
        <f>IF(COUNTIF(Дела!$A:$A,ROW()-1)&gt;0,VLOOKUP(ROW()-1,Дела!$A:$M,13,0),"")</f>
        <v/>
      </c>
      <c r="G263" s="13" t="str">
        <f>IF(COUNTIF(Дела!$A:$A,ROW()-1)&gt;0,VLOOKUP(ROW()-1,Дела!$A:$N,14,0),"")</f>
        <v/>
      </c>
      <c r="H263" s="11" t="str">
        <f>IF(COUNTIF(Дела!$A:$A,ROW()-1)&gt;0,VLOOKUP(ROW()-1,Дела!$A:$K,11,0),"")</f>
        <v/>
      </c>
    </row>
    <row r="264" spans="1:8" x14ac:dyDescent="0.25">
      <c r="A264" s="11" t="str">
        <f>IF(COUNTIF(Дела!$A:$A,ROW()-1)&gt;0,VLOOKUP(ROW()-1,Дела!$A:$C,3,0),"")</f>
        <v/>
      </c>
      <c r="B264" s="11" t="str">
        <f>IF(COUNTIF(Дела!$A:$A,ROW()-1)&gt;0,VLOOKUP(ROW()-1,Дела!$A:$F,6,0),"")</f>
        <v/>
      </c>
      <c r="C264" s="11" t="str">
        <f>IF(COUNTIF(Дела!$A:$A,ROW()-1)&gt;0,VLOOKUP(ROW()-1,Дела!$A:$G,7,0),"")</f>
        <v/>
      </c>
      <c r="D264" s="11" t="str">
        <f>IF(COUNTIF(Дела!$A:$A,ROW()-1)&gt;0,VLOOKUP(ROW()-1,Дела!$A:$I,9,0),"")</f>
        <v/>
      </c>
      <c r="E264" s="11" t="str">
        <f t="shared" si="4"/>
        <v/>
      </c>
      <c r="F264" s="12" t="str">
        <f>IF(COUNTIF(Дела!$A:$A,ROW()-1)&gt;0,VLOOKUP(ROW()-1,Дела!$A:$M,13,0),"")</f>
        <v/>
      </c>
      <c r="G264" s="13" t="str">
        <f>IF(COUNTIF(Дела!$A:$A,ROW()-1)&gt;0,VLOOKUP(ROW()-1,Дела!$A:$N,14,0),"")</f>
        <v/>
      </c>
      <c r="H264" s="11" t="str">
        <f>IF(COUNTIF(Дела!$A:$A,ROW()-1)&gt;0,VLOOKUP(ROW()-1,Дела!$A:$K,11,0),"")</f>
        <v/>
      </c>
    </row>
    <row r="265" spans="1:8" x14ac:dyDescent="0.25">
      <c r="A265" s="11" t="str">
        <f>IF(COUNTIF(Дела!$A:$A,ROW()-1)&gt;0,VLOOKUP(ROW()-1,Дела!$A:$C,3,0),"")</f>
        <v/>
      </c>
      <c r="B265" s="11" t="str">
        <f>IF(COUNTIF(Дела!$A:$A,ROW()-1)&gt;0,VLOOKUP(ROW()-1,Дела!$A:$F,6,0),"")</f>
        <v/>
      </c>
      <c r="C265" s="11" t="str">
        <f>IF(COUNTIF(Дела!$A:$A,ROW()-1)&gt;0,VLOOKUP(ROW()-1,Дела!$A:$G,7,0),"")</f>
        <v/>
      </c>
      <c r="D265" s="11" t="str">
        <f>IF(COUNTIF(Дела!$A:$A,ROW()-1)&gt;0,VLOOKUP(ROW()-1,Дела!$A:$I,9,0),"")</f>
        <v/>
      </c>
      <c r="E265" s="11" t="str">
        <f t="shared" si="4"/>
        <v/>
      </c>
      <c r="F265" s="12" t="str">
        <f>IF(COUNTIF(Дела!$A:$A,ROW()-1)&gt;0,VLOOKUP(ROW()-1,Дела!$A:$M,13,0),"")</f>
        <v/>
      </c>
      <c r="G265" s="13" t="str">
        <f>IF(COUNTIF(Дела!$A:$A,ROW()-1)&gt;0,VLOOKUP(ROW()-1,Дела!$A:$N,14,0),"")</f>
        <v/>
      </c>
      <c r="H265" s="11" t="str">
        <f>IF(COUNTIF(Дела!$A:$A,ROW()-1)&gt;0,VLOOKUP(ROW()-1,Дела!$A:$K,11,0),"")</f>
        <v/>
      </c>
    </row>
    <row r="266" spans="1:8" x14ac:dyDescent="0.25">
      <c r="A266" s="11" t="str">
        <f>IF(COUNTIF(Дела!$A:$A,ROW()-1)&gt;0,VLOOKUP(ROW()-1,Дела!$A:$C,3,0),"")</f>
        <v/>
      </c>
      <c r="B266" s="11" t="str">
        <f>IF(COUNTIF(Дела!$A:$A,ROW()-1)&gt;0,VLOOKUP(ROW()-1,Дела!$A:$F,6,0),"")</f>
        <v/>
      </c>
      <c r="C266" s="11" t="str">
        <f>IF(COUNTIF(Дела!$A:$A,ROW()-1)&gt;0,VLOOKUP(ROW()-1,Дела!$A:$G,7,0),"")</f>
        <v/>
      </c>
      <c r="D266" s="11" t="str">
        <f>IF(COUNTIF(Дела!$A:$A,ROW()-1)&gt;0,VLOOKUP(ROW()-1,Дела!$A:$I,9,0),"")</f>
        <v/>
      </c>
      <c r="E266" s="11" t="str">
        <f t="shared" si="4"/>
        <v/>
      </c>
      <c r="F266" s="12" t="str">
        <f>IF(COUNTIF(Дела!$A:$A,ROW()-1)&gt;0,VLOOKUP(ROW()-1,Дела!$A:$M,13,0),"")</f>
        <v/>
      </c>
      <c r="G266" s="13" t="str">
        <f>IF(COUNTIF(Дела!$A:$A,ROW()-1)&gt;0,VLOOKUP(ROW()-1,Дела!$A:$N,14,0),"")</f>
        <v/>
      </c>
      <c r="H266" s="11" t="str">
        <f>IF(COUNTIF(Дела!$A:$A,ROW()-1)&gt;0,VLOOKUP(ROW()-1,Дела!$A:$K,11,0),"")</f>
        <v/>
      </c>
    </row>
    <row r="267" spans="1:8" x14ac:dyDescent="0.25">
      <c r="A267" s="11" t="str">
        <f>IF(COUNTIF(Дела!$A:$A,ROW()-1)&gt;0,VLOOKUP(ROW()-1,Дела!$A:$C,3,0),"")</f>
        <v/>
      </c>
      <c r="B267" s="11" t="str">
        <f>IF(COUNTIF(Дела!$A:$A,ROW()-1)&gt;0,VLOOKUP(ROW()-1,Дела!$A:$F,6,0),"")</f>
        <v/>
      </c>
      <c r="C267" s="11" t="str">
        <f>IF(COUNTIF(Дела!$A:$A,ROW()-1)&gt;0,VLOOKUP(ROW()-1,Дела!$A:$G,7,0),"")</f>
        <v/>
      </c>
      <c r="D267" s="11" t="str">
        <f>IF(COUNTIF(Дела!$A:$A,ROW()-1)&gt;0,VLOOKUP(ROW()-1,Дела!$A:$I,9,0),"")</f>
        <v/>
      </c>
      <c r="E267" s="11" t="str">
        <f t="shared" si="4"/>
        <v/>
      </c>
      <c r="F267" s="12" t="str">
        <f>IF(COUNTIF(Дела!$A:$A,ROW()-1)&gt;0,VLOOKUP(ROW()-1,Дела!$A:$M,13,0),"")</f>
        <v/>
      </c>
      <c r="G267" s="13" t="str">
        <f>IF(COUNTIF(Дела!$A:$A,ROW()-1)&gt;0,VLOOKUP(ROW()-1,Дела!$A:$N,14,0),"")</f>
        <v/>
      </c>
      <c r="H267" s="11" t="str">
        <f>IF(COUNTIF(Дела!$A:$A,ROW()-1)&gt;0,VLOOKUP(ROW()-1,Дела!$A:$K,11,0),"")</f>
        <v/>
      </c>
    </row>
    <row r="268" spans="1:8" x14ac:dyDescent="0.25">
      <c r="A268" s="11" t="str">
        <f>IF(COUNTIF(Дела!$A:$A,ROW()-1)&gt;0,VLOOKUP(ROW()-1,Дела!$A:$C,3,0),"")</f>
        <v/>
      </c>
      <c r="B268" s="11" t="str">
        <f>IF(COUNTIF(Дела!$A:$A,ROW()-1)&gt;0,VLOOKUP(ROW()-1,Дела!$A:$F,6,0),"")</f>
        <v/>
      </c>
      <c r="C268" s="11" t="str">
        <f>IF(COUNTIF(Дела!$A:$A,ROW()-1)&gt;0,VLOOKUP(ROW()-1,Дела!$A:$G,7,0),"")</f>
        <v/>
      </c>
      <c r="D268" s="11" t="str">
        <f>IF(COUNTIF(Дела!$A:$A,ROW()-1)&gt;0,VLOOKUP(ROW()-1,Дела!$A:$I,9,0),"")</f>
        <v/>
      </c>
      <c r="E268" s="11" t="str">
        <f t="shared" si="4"/>
        <v/>
      </c>
      <c r="F268" s="12" t="str">
        <f>IF(COUNTIF(Дела!$A:$A,ROW()-1)&gt;0,VLOOKUP(ROW()-1,Дела!$A:$M,13,0),"")</f>
        <v/>
      </c>
      <c r="G268" s="13" t="str">
        <f>IF(COUNTIF(Дела!$A:$A,ROW()-1)&gt;0,VLOOKUP(ROW()-1,Дела!$A:$N,14,0),"")</f>
        <v/>
      </c>
      <c r="H268" s="11" t="str">
        <f>IF(COUNTIF(Дела!$A:$A,ROW()-1)&gt;0,VLOOKUP(ROW()-1,Дела!$A:$K,11,0),"")</f>
        <v/>
      </c>
    </row>
    <row r="269" spans="1:8" x14ac:dyDescent="0.25">
      <c r="A269" s="11" t="str">
        <f>IF(COUNTIF(Дела!$A:$A,ROW()-1)&gt;0,VLOOKUP(ROW()-1,Дела!$A:$C,3,0),"")</f>
        <v/>
      </c>
      <c r="B269" s="11" t="str">
        <f>IF(COUNTIF(Дела!$A:$A,ROW()-1)&gt;0,VLOOKUP(ROW()-1,Дела!$A:$F,6,0),"")</f>
        <v/>
      </c>
      <c r="C269" s="11" t="str">
        <f>IF(COUNTIF(Дела!$A:$A,ROW()-1)&gt;0,VLOOKUP(ROW()-1,Дела!$A:$G,7,0),"")</f>
        <v/>
      </c>
      <c r="D269" s="11" t="str">
        <f>IF(COUNTIF(Дела!$A:$A,ROW()-1)&gt;0,VLOOKUP(ROW()-1,Дела!$A:$I,9,0),"")</f>
        <v/>
      </c>
      <c r="E269" s="11" t="str">
        <f t="shared" si="4"/>
        <v/>
      </c>
      <c r="F269" s="12" t="str">
        <f>IF(COUNTIF(Дела!$A:$A,ROW()-1)&gt;0,VLOOKUP(ROW()-1,Дела!$A:$M,13,0),"")</f>
        <v/>
      </c>
      <c r="G269" s="13" t="str">
        <f>IF(COUNTIF(Дела!$A:$A,ROW()-1)&gt;0,VLOOKUP(ROW()-1,Дела!$A:$N,14,0),"")</f>
        <v/>
      </c>
      <c r="H269" s="11" t="str">
        <f>IF(COUNTIF(Дела!$A:$A,ROW()-1)&gt;0,VLOOKUP(ROW()-1,Дела!$A:$K,11,0),"")</f>
        <v/>
      </c>
    </row>
    <row r="270" spans="1:8" x14ac:dyDescent="0.25">
      <c r="A270" s="11" t="str">
        <f>IF(COUNTIF(Дела!$A:$A,ROW()-1)&gt;0,VLOOKUP(ROW()-1,Дела!$A:$C,3,0),"")</f>
        <v/>
      </c>
      <c r="B270" s="11" t="str">
        <f>IF(COUNTIF(Дела!$A:$A,ROW()-1)&gt;0,VLOOKUP(ROW()-1,Дела!$A:$F,6,0),"")</f>
        <v/>
      </c>
      <c r="C270" s="11" t="str">
        <f>IF(COUNTIF(Дела!$A:$A,ROW()-1)&gt;0,VLOOKUP(ROW()-1,Дела!$A:$G,7,0),"")</f>
        <v/>
      </c>
      <c r="D270" s="11" t="str">
        <f>IF(COUNTIF(Дела!$A:$A,ROW()-1)&gt;0,VLOOKUP(ROW()-1,Дела!$A:$I,9,0),"")</f>
        <v/>
      </c>
      <c r="E270" s="11" t="str">
        <f t="shared" si="4"/>
        <v/>
      </c>
      <c r="F270" s="12" t="str">
        <f>IF(COUNTIF(Дела!$A:$A,ROW()-1)&gt;0,VLOOKUP(ROW()-1,Дела!$A:$M,13,0),"")</f>
        <v/>
      </c>
      <c r="G270" s="13" t="str">
        <f>IF(COUNTIF(Дела!$A:$A,ROW()-1)&gt;0,VLOOKUP(ROW()-1,Дела!$A:$N,14,0),"")</f>
        <v/>
      </c>
      <c r="H270" s="11" t="str">
        <f>IF(COUNTIF(Дела!$A:$A,ROW()-1)&gt;0,VLOOKUP(ROW()-1,Дела!$A:$K,11,0),"")</f>
        <v/>
      </c>
    </row>
    <row r="271" spans="1:8" x14ac:dyDescent="0.25">
      <c r="A271" s="11" t="str">
        <f>IF(COUNTIF(Дела!$A:$A,ROW()-1)&gt;0,VLOOKUP(ROW()-1,Дела!$A:$C,3,0),"")</f>
        <v/>
      </c>
      <c r="B271" s="11" t="str">
        <f>IF(COUNTIF(Дела!$A:$A,ROW()-1)&gt;0,VLOOKUP(ROW()-1,Дела!$A:$F,6,0),"")</f>
        <v/>
      </c>
      <c r="C271" s="11" t="str">
        <f>IF(COUNTIF(Дела!$A:$A,ROW()-1)&gt;0,VLOOKUP(ROW()-1,Дела!$A:$G,7,0),"")</f>
        <v/>
      </c>
      <c r="D271" s="11" t="str">
        <f>IF(COUNTIF(Дела!$A:$A,ROW()-1)&gt;0,VLOOKUP(ROW()-1,Дела!$A:$I,9,0),"")</f>
        <v/>
      </c>
      <c r="E271" s="11" t="str">
        <f t="shared" si="4"/>
        <v/>
      </c>
      <c r="F271" s="12" t="str">
        <f>IF(COUNTIF(Дела!$A:$A,ROW()-1)&gt;0,VLOOKUP(ROW()-1,Дела!$A:$M,13,0),"")</f>
        <v/>
      </c>
      <c r="G271" s="13" t="str">
        <f>IF(COUNTIF(Дела!$A:$A,ROW()-1)&gt;0,VLOOKUP(ROW()-1,Дела!$A:$N,14,0),"")</f>
        <v/>
      </c>
      <c r="H271" s="11" t="str">
        <f>IF(COUNTIF(Дела!$A:$A,ROW()-1)&gt;0,VLOOKUP(ROW()-1,Дела!$A:$K,11,0),"")</f>
        <v/>
      </c>
    </row>
    <row r="272" spans="1:8" x14ac:dyDescent="0.25">
      <c r="A272" s="11" t="str">
        <f>IF(COUNTIF(Дела!$A:$A,ROW()-1)&gt;0,VLOOKUP(ROW()-1,Дела!$A:$C,3,0),"")</f>
        <v/>
      </c>
      <c r="B272" s="11" t="str">
        <f>IF(COUNTIF(Дела!$A:$A,ROW()-1)&gt;0,VLOOKUP(ROW()-1,Дела!$A:$F,6,0),"")</f>
        <v/>
      </c>
      <c r="C272" s="11" t="str">
        <f>IF(COUNTIF(Дела!$A:$A,ROW()-1)&gt;0,VLOOKUP(ROW()-1,Дела!$A:$G,7,0),"")</f>
        <v/>
      </c>
      <c r="D272" s="11" t="str">
        <f>IF(COUNTIF(Дела!$A:$A,ROW()-1)&gt;0,VLOOKUP(ROW()-1,Дела!$A:$I,9,0),"")</f>
        <v/>
      </c>
      <c r="E272" s="11" t="str">
        <f t="shared" si="4"/>
        <v/>
      </c>
      <c r="F272" s="12" t="str">
        <f>IF(COUNTIF(Дела!$A:$A,ROW()-1)&gt;0,VLOOKUP(ROW()-1,Дела!$A:$M,13,0),"")</f>
        <v/>
      </c>
      <c r="G272" s="13" t="str">
        <f>IF(COUNTIF(Дела!$A:$A,ROW()-1)&gt;0,VLOOKUP(ROW()-1,Дела!$A:$N,14,0),"")</f>
        <v/>
      </c>
      <c r="H272" s="11" t="str">
        <f>IF(COUNTIF(Дела!$A:$A,ROW()-1)&gt;0,VLOOKUP(ROW()-1,Дела!$A:$K,11,0),"")</f>
        <v/>
      </c>
    </row>
    <row r="273" spans="1:8" x14ac:dyDescent="0.25">
      <c r="A273" s="11" t="str">
        <f>IF(COUNTIF(Дела!$A:$A,ROW()-1)&gt;0,VLOOKUP(ROW()-1,Дела!$A:$C,3,0),"")</f>
        <v/>
      </c>
      <c r="B273" s="11" t="str">
        <f>IF(COUNTIF(Дела!$A:$A,ROW()-1)&gt;0,VLOOKUP(ROW()-1,Дела!$A:$F,6,0),"")</f>
        <v/>
      </c>
      <c r="C273" s="11" t="str">
        <f>IF(COUNTIF(Дела!$A:$A,ROW()-1)&gt;0,VLOOKUP(ROW()-1,Дела!$A:$G,7,0),"")</f>
        <v/>
      </c>
      <c r="D273" s="11" t="str">
        <f>IF(COUNTIF(Дела!$A:$A,ROW()-1)&gt;0,VLOOKUP(ROW()-1,Дела!$A:$I,9,0),"")</f>
        <v/>
      </c>
      <c r="E273" s="11" t="str">
        <f t="shared" si="4"/>
        <v/>
      </c>
      <c r="F273" s="12" t="str">
        <f>IF(COUNTIF(Дела!$A:$A,ROW()-1)&gt;0,VLOOKUP(ROW()-1,Дела!$A:$M,13,0),"")</f>
        <v/>
      </c>
      <c r="G273" s="13" t="str">
        <f>IF(COUNTIF(Дела!$A:$A,ROW()-1)&gt;0,VLOOKUP(ROW()-1,Дела!$A:$N,14,0),"")</f>
        <v/>
      </c>
      <c r="H273" s="11" t="str">
        <f>IF(COUNTIF(Дела!$A:$A,ROW()-1)&gt;0,VLOOKUP(ROW()-1,Дела!$A:$K,11,0),"")</f>
        <v/>
      </c>
    </row>
    <row r="274" spans="1:8" x14ac:dyDescent="0.25">
      <c r="A274" s="11" t="str">
        <f>IF(COUNTIF(Дела!$A:$A,ROW()-1)&gt;0,VLOOKUP(ROW()-1,Дела!$A:$C,3,0),"")</f>
        <v/>
      </c>
      <c r="B274" s="11" t="str">
        <f>IF(COUNTIF(Дела!$A:$A,ROW()-1)&gt;0,VLOOKUP(ROW()-1,Дела!$A:$F,6,0),"")</f>
        <v/>
      </c>
      <c r="C274" s="11" t="str">
        <f>IF(COUNTIF(Дела!$A:$A,ROW()-1)&gt;0,VLOOKUP(ROW()-1,Дела!$A:$G,7,0),"")</f>
        <v/>
      </c>
      <c r="D274" s="11" t="str">
        <f>IF(COUNTIF(Дела!$A:$A,ROW()-1)&gt;0,VLOOKUP(ROW()-1,Дела!$A:$I,9,0),"")</f>
        <v/>
      </c>
      <c r="E274" s="11" t="str">
        <f t="shared" si="4"/>
        <v/>
      </c>
      <c r="F274" s="12" t="str">
        <f>IF(COUNTIF(Дела!$A:$A,ROW()-1)&gt;0,VLOOKUP(ROW()-1,Дела!$A:$M,13,0),"")</f>
        <v/>
      </c>
      <c r="G274" s="13" t="str">
        <f>IF(COUNTIF(Дела!$A:$A,ROW()-1)&gt;0,VLOOKUP(ROW()-1,Дела!$A:$N,14,0),"")</f>
        <v/>
      </c>
      <c r="H274" s="11" t="str">
        <f>IF(COUNTIF(Дела!$A:$A,ROW()-1)&gt;0,VLOOKUP(ROW()-1,Дела!$A:$K,11,0),"")</f>
        <v/>
      </c>
    </row>
    <row r="275" spans="1:8" x14ac:dyDescent="0.25">
      <c r="A275" s="11" t="str">
        <f>IF(COUNTIF(Дела!$A:$A,ROW()-1)&gt;0,VLOOKUP(ROW()-1,Дела!$A:$C,3,0),"")</f>
        <v/>
      </c>
      <c r="B275" s="11" t="str">
        <f>IF(COUNTIF(Дела!$A:$A,ROW()-1)&gt;0,VLOOKUP(ROW()-1,Дела!$A:$F,6,0),"")</f>
        <v/>
      </c>
      <c r="C275" s="11" t="str">
        <f>IF(COUNTIF(Дела!$A:$A,ROW()-1)&gt;0,VLOOKUP(ROW()-1,Дела!$A:$G,7,0),"")</f>
        <v/>
      </c>
      <c r="D275" s="11" t="str">
        <f>IF(COUNTIF(Дела!$A:$A,ROW()-1)&gt;0,VLOOKUP(ROW()-1,Дела!$A:$I,9,0),"")</f>
        <v/>
      </c>
      <c r="E275" s="11" t="str">
        <f t="shared" si="4"/>
        <v/>
      </c>
      <c r="F275" s="12" t="str">
        <f>IF(COUNTIF(Дела!$A:$A,ROW()-1)&gt;0,VLOOKUP(ROW()-1,Дела!$A:$M,13,0),"")</f>
        <v/>
      </c>
      <c r="G275" s="13" t="str">
        <f>IF(COUNTIF(Дела!$A:$A,ROW()-1)&gt;0,VLOOKUP(ROW()-1,Дела!$A:$N,14,0),"")</f>
        <v/>
      </c>
      <c r="H275" s="11" t="str">
        <f>IF(COUNTIF(Дела!$A:$A,ROW()-1)&gt;0,VLOOKUP(ROW()-1,Дела!$A:$K,11,0),"")</f>
        <v/>
      </c>
    </row>
    <row r="276" spans="1:8" x14ac:dyDescent="0.25">
      <c r="A276" s="11" t="str">
        <f>IF(COUNTIF(Дела!$A:$A,ROW()-1)&gt;0,VLOOKUP(ROW()-1,Дела!$A:$C,3,0),"")</f>
        <v/>
      </c>
      <c r="B276" s="11" t="str">
        <f>IF(COUNTIF(Дела!$A:$A,ROW()-1)&gt;0,VLOOKUP(ROW()-1,Дела!$A:$F,6,0),"")</f>
        <v/>
      </c>
      <c r="C276" s="11" t="str">
        <f>IF(COUNTIF(Дела!$A:$A,ROW()-1)&gt;0,VLOOKUP(ROW()-1,Дела!$A:$G,7,0),"")</f>
        <v/>
      </c>
      <c r="D276" s="11" t="str">
        <f>IF(COUNTIF(Дела!$A:$A,ROW()-1)&gt;0,VLOOKUP(ROW()-1,Дела!$A:$I,9,0),"")</f>
        <v/>
      </c>
      <c r="E276" s="11" t="str">
        <f t="shared" si="4"/>
        <v/>
      </c>
      <c r="F276" s="12" t="str">
        <f>IF(COUNTIF(Дела!$A:$A,ROW()-1)&gt;0,VLOOKUP(ROW()-1,Дела!$A:$M,13,0),"")</f>
        <v/>
      </c>
      <c r="G276" s="13" t="str">
        <f>IF(COUNTIF(Дела!$A:$A,ROW()-1)&gt;0,VLOOKUP(ROW()-1,Дела!$A:$N,14,0),"")</f>
        <v/>
      </c>
      <c r="H276" s="11" t="str">
        <f>IF(COUNTIF(Дела!$A:$A,ROW()-1)&gt;0,VLOOKUP(ROW()-1,Дела!$A:$K,11,0),"")</f>
        <v/>
      </c>
    </row>
    <row r="277" spans="1:8" x14ac:dyDescent="0.25">
      <c r="A277" s="11" t="str">
        <f>IF(COUNTIF(Дела!$A:$A,ROW()-1)&gt;0,VLOOKUP(ROW()-1,Дела!$A:$C,3,0),"")</f>
        <v/>
      </c>
      <c r="B277" s="11" t="str">
        <f>IF(COUNTIF(Дела!$A:$A,ROW()-1)&gt;0,VLOOKUP(ROW()-1,Дела!$A:$F,6,0),"")</f>
        <v/>
      </c>
      <c r="C277" s="11" t="str">
        <f>IF(COUNTIF(Дела!$A:$A,ROW()-1)&gt;0,VLOOKUP(ROW()-1,Дела!$A:$G,7,0),"")</f>
        <v/>
      </c>
      <c r="D277" s="11" t="str">
        <f>IF(COUNTIF(Дела!$A:$A,ROW()-1)&gt;0,VLOOKUP(ROW()-1,Дела!$A:$I,9,0),"")</f>
        <v/>
      </c>
      <c r="E277" s="11" t="str">
        <f t="shared" si="4"/>
        <v/>
      </c>
      <c r="F277" s="12" t="str">
        <f>IF(COUNTIF(Дела!$A:$A,ROW()-1)&gt;0,VLOOKUP(ROW()-1,Дела!$A:$M,13,0),"")</f>
        <v/>
      </c>
      <c r="G277" s="13" t="str">
        <f>IF(COUNTIF(Дела!$A:$A,ROW()-1)&gt;0,VLOOKUP(ROW()-1,Дела!$A:$N,14,0),"")</f>
        <v/>
      </c>
      <c r="H277" s="11" t="str">
        <f>IF(COUNTIF(Дела!$A:$A,ROW()-1)&gt;0,VLOOKUP(ROW()-1,Дела!$A:$K,11,0),"")</f>
        <v/>
      </c>
    </row>
    <row r="278" spans="1:8" x14ac:dyDescent="0.25">
      <c r="A278" s="11" t="str">
        <f>IF(COUNTIF(Дела!$A:$A,ROW()-1)&gt;0,VLOOKUP(ROW()-1,Дела!$A:$C,3,0),"")</f>
        <v/>
      </c>
      <c r="B278" s="11" t="str">
        <f>IF(COUNTIF(Дела!$A:$A,ROW()-1)&gt;0,VLOOKUP(ROW()-1,Дела!$A:$F,6,0),"")</f>
        <v/>
      </c>
      <c r="C278" s="11" t="str">
        <f>IF(COUNTIF(Дела!$A:$A,ROW()-1)&gt;0,VLOOKUP(ROW()-1,Дела!$A:$G,7,0),"")</f>
        <v/>
      </c>
      <c r="D278" s="11" t="str">
        <f>IF(COUNTIF(Дела!$A:$A,ROW()-1)&gt;0,VLOOKUP(ROW()-1,Дела!$A:$I,9,0),"")</f>
        <v/>
      </c>
      <c r="E278" s="11" t="str">
        <f t="shared" si="4"/>
        <v/>
      </c>
      <c r="F278" s="12" t="str">
        <f>IF(COUNTIF(Дела!$A:$A,ROW()-1)&gt;0,VLOOKUP(ROW()-1,Дела!$A:$M,13,0),"")</f>
        <v/>
      </c>
      <c r="G278" s="13" t="str">
        <f>IF(COUNTIF(Дела!$A:$A,ROW()-1)&gt;0,VLOOKUP(ROW()-1,Дела!$A:$N,14,0),"")</f>
        <v/>
      </c>
      <c r="H278" s="11" t="str">
        <f>IF(COUNTIF(Дела!$A:$A,ROW()-1)&gt;0,VLOOKUP(ROW()-1,Дела!$A:$K,11,0),"")</f>
        <v/>
      </c>
    </row>
    <row r="279" spans="1:8" x14ac:dyDescent="0.25">
      <c r="A279" s="11" t="str">
        <f>IF(COUNTIF(Дела!$A:$A,ROW()-1)&gt;0,VLOOKUP(ROW()-1,Дела!$A:$C,3,0),"")</f>
        <v/>
      </c>
      <c r="B279" s="11" t="str">
        <f>IF(COUNTIF(Дела!$A:$A,ROW()-1)&gt;0,VLOOKUP(ROW()-1,Дела!$A:$F,6,0),"")</f>
        <v/>
      </c>
      <c r="C279" s="11" t="str">
        <f>IF(COUNTIF(Дела!$A:$A,ROW()-1)&gt;0,VLOOKUP(ROW()-1,Дела!$A:$G,7,0),"")</f>
        <v/>
      </c>
      <c r="D279" s="11" t="str">
        <f>IF(COUNTIF(Дела!$A:$A,ROW()-1)&gt;0,VLOOKUP(ROW()-1,Дела!$A:$I,9,0),"")</f>
        <v/>
      </c>
      <c r="E279" s="11" t="str">
        <f t="shared" si="4"/>
        <v/>
      </c>
      <c r="F279" s="12" t="str">
        <f>IF(COUNTIF(Дела!$A:$A,ROW()-1)&gt;0,VLOOKUP(ROW()-1,Дела!$A:$M,13,0),"")</f>
        <v/>
      </c>
      <c r="G279" s="13" t="str">
        <f>IF(COUNTIF(Дела!$A:$A,ROW()-1)&gt;0,VLOOKUP(ROW()-1,Дела!$A:$N,14,0),"")</f>
        <v/>
      </c>
      <c r="H279" s="11" t="str">
        <f>IF(COUNTIF(Дела!$A:$A,ROW()-1)&gt;0,VLOOKUP(ROW()-1,Дела!$A:$K,11,0),"")</f>
        <v/>
      </c>
    </row>
    <row r="280" spans="1:8" x14ac:dyDescent="0.25">
      <c r="A280" s="11" t="str">
        <f>IF(COUNTIF(Дела!$A:$A,ROW()-1)&gt;0,VLOOKUP(ROW()-1,Дела!$A:$C,3,0),"")</f>
        <v/>
      </c>
      <c r="B280" s="11" t="str">
        <f>IF(COUNTIF(Дела!$A:$A,ROW()-1)&gt;0,VLOOKUP(ROW()-1,Дела!$A:$F,6,0),"")</f>
        <v/>
      </c>
      <c r="C280" s="11" t="str">
        <f>IF(COUNTIF(Дела!$A:$A,ROW()-1)&gt;0,VLOOKUP(ROW()-1,Дела!$A:$G,7,0),"")</f>
        <v/>
      </c>
      <c r="D280" s="11" t="str">
        <f>IF(COUNTIF(Дела!$A:$A,ROW()-1)&gt;0,VLOOKUP(ROW()-1,Дела!$A:$I,9,0),"")</f>
        <v/>
      </c>
      <c r="E280" s="11" t="str">
        <f t="shared" si="4"/>
        <v/>
      </c>
      <c r="F280" s="12" t="str">
        <f>IF(COUNTIF(Дела!$A:$A,ROW()-1)&gt;0,VLOOKUP(ROW()-1,Дела!$A:$M,13,0),"")</f>
        <v/>
      </c>
      <c r="G280" s="13" t="str">
        <f>IF(COUNTIF(Дела!$A:$A,ROW()-1)&gt;0,VLOOKUP(ROW()-1,Дела!$A:$N,14,0),"")</f>
        <v/>
      </c>
      <c r="H280" s="11" t="str">
        <f>IF(COUNTIF(Дела!$A:$A,ROW()-1)&gt;0,VLOOKUP(ROW()-1,Дела!$A:$K,11,0),"")</f>
        <v/>
      </c>
    </row>
    <row r="281" spans="1:8" x14ac:dyDescent="0.25">
      <c r="A281" s="11" t="str">
        <f>IF(COUNTIF(Дела!$A:$A,ROW()-1)&gt;0,VLOOKUP(ROW()-1,Дела!$A:$C,3,0),"")</f>
        <v/>
      </c>
      <c r="B281" s="11" t="str">
        <f>IF(COUNTIF(Дела!$A:$A,ROW()-1)&gt;0,VLOOKUP(ROW()-1,Дела!$A:$F,6,0),"")</f>
        <v/>
      </c>
      <c r="C281" s="11" t="str">
        <f>IF(COUNTIF(Дела!$A:$A,ROW()-1)&gt;0,VLOOKUP(ROW()-1,Дела!$A:$G,7,0),"")</f>
        <v/>
      </c>
      <c r="D281" s="11" t="str">
        <f>IF(COUNTIF(Дела!$A:$A,ROW()-1)&gt;0,VLOOKUP(ROW()-1,Дела!$A:$I,9,0),"")</f>
        <v/>
      </c>
      <c r="E281" s="11" t="str">
        <f t="shared" si="4"/>
        <v/>
      </c>
      <c r="F281" s="12" t="str">
        <f>IF(COUNTIF(Дела!$A:$A,ROW()-1)&gt;0,VLOOKUP(ROW()-1,Дела!$A:$M,13,0),"")</f>
        <v/>
      </c>
      <c r="G281" s="13" t="str">
        <f>IF(COUNTIF(Дела!$A:$A,ROW()-1)&gt;0,VLOOKUP(ROW()-1,Дела!$A:$N,14,0),"")</f>
        <v/>
      </c>
      <c r="H281" s="11" t="str">
        <f>IF(COUNTIF(Дела!$A:$A,ROW()-1)&gt;0,VLOOKUP(ROW()-1,Дела!$A:$K,11,0),"")</f>
        <v/>
      </c>
    </row>
    <row r="282" spans="1:8" x14ac:dyDescent="0.25">
      <c r="A282" s="11" t="str">
        <f>IF(COUNTIF(Дела!$A:$A,ROW()-1)&gt;0,VLOOKUP(ROW()-1,Дела!$A:$C,3,0),"")</f>
        <v/>
      </c>
      <c r="B282" s="11" t="str">
        <f>IF(COUNTIF(Дела!$A:$A,ROW()-1)&gt;0,VLOOKUP(ROW()-1,Дела!$A:$F,6,0),"")</f>
        <v/>
      </c>
      <c r="C282" s="11" t="str">
        <f>IF(COUNTIF(Дела!$A:$A,ROW()-1)&gt;0,VLOOKUP(ROW()-1,Дела!$A:$G,7,0),"")</f>
        <v/>
      </c>
      <c r="D282" s="11" t="str">
        <f>IF(COUNTIF(Дела!$A:$A,ROW()-1)&gt;0,VLOOKUP(ROW()-1,Дела!$A:$I,9,0),"")</f>
        <v/>
      </c>
      <c r="E282" s="11" t="str">
        <f t="shared" si="4"/>
        <v/>
      </c>
      <c r="F282" s="12" t="str">
        <f>IF(COUNTIF(Дела!$A:$A,ROW()-1)&gt;0,VLOOKUP(ROW()-1,Дела!$A:$M,13,0),"")</f>
        <v/>
      </c>
      <c r="G282" s="13" t="str">
        <f>IF(COUNTIF(Дела!$A:$A,ROW()-1)&gt;0,VLOOKUP(ROW()-1,Дела!$A:$N,14,0),"")</f>
        <v/>
      </c>
      <c r="H282" s="11" t="str">
        <f>IF(COUNTIF(Дела!$A:$A,ROW()-1)&gt;0,VLOOKUP(ROW()-1,Дела!$A:$K,11,0),"")</f>
        <v/>
      </c>
    </row>
    <row r="283" spans="1:8" x14ac:dyDescent="0.25">
      <c r="A283" s="11" t="str">
        <f>IF(COUNTIF(Дела!$A:$A,ROW()-1)&gt;0,VLOOKUP(ROW()-1,Дела!$A:$C,3,0),"")</f>
        <v/>
      </c>
      <c r="B283" s="11" t="str">
        <f>IF(COUNTIF(Дела!$A:$A,ROW()-1)&gt;0,VLOOKUP(ROW()-1,Дела!$A:$F,6,0),"")</f>
        <v/>
      </c>
      <c r="C283" s="11" t="str">
        <f>IF(COUNTIF(Дела!$A:$A,ROW()-1)&gt;0,VLOOKUP(ROW()-1,Дела!$A:$G,7,0),"")</f>
        <v/>
      </c>
      <c r="D283" s="11" t="str">
        <f>IF(COUNTIF(Дела!$A:$A,ROW()-1)&gt;0,VLOOKUP(ROW()-1,Дела!$A:$I,9,0),"")</f>
        <v/>
      </c>
      <c r="E283" s="11" t="str">
        <f t="shared" si="4"/>
        <v/>
      </c>
      <c r="F283" s="12" t="str">
        <f>IF(COUNTIF(Дела!$A:$A,ROW()-1)&gt;0,VLOOKUP(ROW()-1,Дела!$A:$M,13,0),"")</f>
        <v/>
      </c>
      <c r="G283" s="13" t="str">
        <f>IF(COUNTIF(Дела!$A:$A,ROW()-1)&gt;0,VLOOKUP(ROW()-1,Дела!$A:$N,14,0),"")</f>
        <v/>
      </c>
      <c r="H283" s="11" t="str">
        <f>IF(COUNTIF(Дела!$A:$A,ROW()-1)&gt;0,VLOOKUP(ROW()-1,Дела!$A:$K,11,0),"")</f>
        <v/>
      </c>
    </row>
    <row r="284" spans="1:8" x14ac:dyDescent="0.25">
      <c r="A284" s="11" t="str">
        <f>IF(COUNTIF(Дела!$A:$A,ROW()-1)&gt;0,VLOOKUP(ROW()-1,Дела!$A:$C,3,0),"")</f>
        <v/>
      </c>
      <c r="B284" s="11" t="str">
        <f>IF(COUNTIF(Дела!$A:$A,ROW()-1)&gt;0,VLOOKUP(ROW()-1,Дела!$A:$F,6,0),"")</f>
        <v/>
      </c>
      <c r="C284" s="11" t="str">
        <f>IF(COUNTIF(Дела!$A:$A,ROW()-1)&gt;0,VLOOKUP(ROW()-1,Дела!$A:$G,7,0),"")</f>
        <v/>
      </c>
      <c r="D284" s="11" t="str">
        <f>IF(COUNTIF(Дела!$A:$A,ROW()-1)&gt;0,VLOOKUP(ROW()-1,Дела!$A:$I,9,0),"")</f>
        <v/>
      </c>
      <c r="E284" s="11" t="str">
        <f t="shared" si="4"/>
        <v/>
      </c>
      <c r="F284" s="12" t="str">
        <f>IF(COUNTIF(Дела!$A:$A,ROW()-1)&gt;0,VLOOKUP(ROW()-1,Дела!$A:$M,13,0),"")</f>
        <v/>
      </c>
      <c r="G284" s="13" t="str">
        <f>IF(COUNTIF(Дела!$A:$A,ROW()-1)&gt;0,VLOOKUP(ROW()-1,Дела!$A:$N,14,0),"")</f>
        <v/>
      </c>
      <c r="H284" s="11" t="str">
        <f>IF(COUNTIF(Дела!$A:$A,ROW()-1)&gt;0,VLOOKUP(ROW()-1,Дела!$A:$K,11,0),"")</f>
        <v/>
      </c>
    </row>
    <row r="285" spans="1:8" x14ac:dyDescent="0.25">
      <c r="A285" s="11" t="str">
        <f>IF(COUNTIF(Дела!$A:$A,ROW()-1)&gt;0,VLOOKUP(ROW()-1,Дела!$A:$C,3,0),"")</f>
        <v/>
      </c>
      <c r="B285" s="11" t="str">
        <f>IF(COUNTIF(Дела!$A:$A,ROW()-1)&gt;0,VLOOKUP(ROW()-1,Дела!$A:$F,6,0),"")</f>
        <v/>
      </c>
      <c r="C285" s="11" t="str">
        <f>IF(COUNTIF(Дела!$A:$A,ROW()-1)&gt;0,VLOOKUP(ROW()-1,Дела!$A:$G,7,0),"")</f>
        <v/>
      </c>
      <c r="D285" s="11" t="str">
        <f>IF(COUNTIF(Дела!$A:$A,ROW()-1)&gt;0,VLOOKUP(ROW()-1,Дела!$A:$I,9,0),"")</f>
        <v/>
      </c>
      <c r="E285" s="11" t="str">
        <f t="shared" si="4"/>
        <v/>
      </c>
      <c r="F285" s="12" t="str">
        <f>IF(COUNTIF(Дела!$A:$A,ROW()-1)&gt;0,VLOOKUP(ROW()-1,Дела!$A:$M,13,0),"")</f>
        <v/>
      </c>
      <c r="G285" s="13" t="str">
        <f>IF(COUNTIF(Дела!$A:$A,ROW()-1)&gt;0,VLOOKUP(ROW()-1,Дела!$A:$N,14,0),"")</f>
        <v/>
      </c>
      <c r="H285" s="11" t="str">
        <f>IF(COUNTIF(Дела!$A:$A,ROW()-1)&gt;0,VLOOKUP(ROW()-1,Дела!$A:$K,11,0),"")</f>
        <v/>
      </c>
    </row>
    <row r="286" spans="1:8" x14ac:dyDescent="0.25">
      <c r="A286" s="11" t="str">
        <f>IF(COUNTIF(Дела!$A:$A,ROW()-1)&gt;0,VLOOKUP(ROW()-1,Дела!$A:$C,3,0),"")</f>
        <v/>
      </c>
      <c r="B286" s="11" t="str">
        <f>IF(COUNTIF(Дела!$A:$A,ROW()-1)&gt;0,VLOOKUP(ROW()-1,Дела!$A:$F,6,0),"")</f>
        <v/>
      </c>
      <c r="C286" s="11" t="str">
        <f>IF(COUNTIF(Дела!$A:$A,ROW()-1)&gt;0,VLOOKUP(ROW()-1,Дела!$A:$G,7,0),"")</f>
        <v/>
      </c>
      <c r="D286" s="11" t="str">
        <f>IF(COUNTIF(Дела!$A:$A,ROW()-1)&gt;0,VLOOKUP(ROW()-1,Дела!$A:$I,9,0),"")</f>
        <v/>
      </c>
      <c r="E286" s="11" t="str">
        <f t="shared" si="4"/>
        <v/>
      </c>
      <c r="F286" s="12" t="str">
        <f>IF(COUNTIF(Дела!$A:$A,ROW()-1)&gt;0,VLOOKUP(ROW()-1,Дела!$A:$M,13,0),"")</f>
        <v/>
      </c>
      <c r="G286" s="13" t="str">
        <f>IF(COUNTIF(Дела!$A:$A,ROW()-1)&gt;0,VLOOKUP(ROW()-1,Дела!$A:$N,14,0),"")</f>
        <v/>
      </c>
      <c r="H286" s="11" t="str">
        <f>IF(COUNTIF(Дела!$A:$A,ROW()-1)&gt;0,VLOOKUP(ROW()-1,Дела!$A:$K,11,0),"")</f>
        <v/>
      </c>
    </row>
    <row r="287" spans="1:8" x14ac:dyDescent="0.25">
      <c r="A287" s="11" t="str">
        <f>IF(COUNTIF(Дела!$A:$A,ROW()-1)&gt;0,VLOOKUP(ROW()-1,Дела!$A:$C,3,0),"")</f>
        <v/>
      </c>
      <c r="B287" s="11" t="str">
        <f>IF(COUNTIF(Дела!$A:$A,ROW()-1)&gt;0,VLOOKUP(ROW()-1,Дела!$A:$F,6,0),"")</f>
        <v/>
      </c>
      <c r="C287" s="11" t="str">
        <f>IF(COUNTIF(Дела!$A:$A,ROW()-1)&gt;0,VLOOKUP(ROW()-1,Дела!$A:$G,7,0),"")</f>
        <v/>
      </c>
      <c r="D287" s="11" t="str">
        <f>IF(COUNTIF(Дела!$A:$A,ROW()-1)&gt;0,VLOOKUP(ROW()-1,Дела!$A:$I,9,0),"")</f>
        <v/>
      </c>
      <c r="E287" s="11" t="str">
        <f t="shared" si="4"/>
        <v/>
      </c>
      <c r="F287" s="12" t="str">
        <f>IF(COUNTIF(Дела!$A:$A,ROW()-1)&gt;0,VLOOKUP(ROW()-1,Дела!$A:$M,13,0),"")</f>
        <v/>
      </c>
      <c r="G287" s="13" t="str">
        <f>IF(COUNTIF(Дела!$A:$A,ROW()-1)&gt;0,VLOOKUP(ROW()-1,Дела!$A:$N,14,0),"")</f>
        <v/>
      </c>
      <c r="H287" s="11" t="str">
        <f>IF(COUNTIF(Дела!$A:$A,ROW()-1)&gt;0,VLOOKUP(ROW()-1,Дела!$A:$K,11,0),"")</f>
        <v/>
      </c>
    </row>
    <row r="288" spans="1:8" x14ac:dyDescent="0.25">
      <c r="A288" s="11" t="str">
        <f>IF(COUNTIF(Дела!$A:$A,ROW()-1)&gt;0,VLOOKUP(ROW()-1,Дела!$A:$C,3,0),"")</f>
        <v/>
      </c>
      <c r="B288" s="11" t="str">
        <f>IF(COUNTIF(Дела!$A:$A,ROW()-1)&gt;0,VLOOKUP(ROW()-1,Дела!$A:$F,6,0),"")</f>
        <v/>
      </c>
      <c r="C288" s="11" t="str">
        <f>IF(COUNTIF(Дела!$A:$A,ROW()-1)&gt;0,VLOOKUP(ROW()-1,Дела!$A:$G,7,0),"")</f>
        <v/>
      </c>
      <c r="D288" s="11" t="str">
        <f>IF(COUNTIF(Дела!$A:$A,ROW()-1)&gt;0,VLOOKUP(ROW()-1,Дела!$A:$I,9,0),"")</f>
        <v/>
      </c>
      <c r="E288" s="11" t="str">
        <f t="shared" si="4"/>
        <v/>
      </c>
      <c r="F288" s="12" t="str">
        <f>IF(COUNTIF(Дела!$A:$A,ROW()-1)&gt;0,VLOOKUP(ROW()-1,Дела!$A:$M,13,0),"")</f>
        <v/>
      </c>
      <c r="G288" s="13" t="str">
        <f>IF(COUNTIF(Дела!$A:$A,ROW()-1)&gt;0,VLOOKUP(ROW()-1,Дела!$A:$N,14,0),"")</f>
        <v/>
      </c>
      <c r="H288" s="11" t="str">
        <f>IF(COUNTIF(Дела!$A:$A,ROW()-1)&gt;0,VLOOKUP(ROW()-1,Дела!$A:$K,11,0),"")</f>
        <v/>
      </c>
    </row>
    <row r="289" spans="1:8" x14ac:dyDescent="0.25">
      <c r="A289" s="11" t="str">
        <f>IF(COUNTIF(Дела!$A:$A,ROW()-1)&gt;0,VLOOKUP(ROW()-1,Дела!$A:$C,3,0),"")</f>
        <v/>
      </c>
      <c r="B289" s="11" t="str">
        <f>IF(COUNTIF(Дела!$A:$A,ROW()-1)&gt;0,VLOOKUP(ROW()-1,Дела!$A:$F,6,0),"")</f>
        <v/>
      </c>
      <c r="C289" s="11" t="str">
        <f>IF(COUNTIF(Дела!$A:$A,ROW()-1)&gt;0,VLOOKUP(ROW()-1,Дела!$A:$G,7,0),"")</f>
        <v/>
      </c>
      <c r="D289" s="11" t="str">
        <f>IF(COUNTIF(Дела!$A:$A,ROW()-1)&gt;0,VLOOKUP(ROW()-1,Дела!$A:$I,9,0),"")</f>
        <v/>
      </c>
      <c r="E289" s="11" t="str">
        <f t="shared" si="4"/>
        <v/>
      </c>
      <c r="F289" s="12" t="str">
        <f>IF(COUNTIF(Дела!$A:$A,ROW()-1)&gt;0,VLOOKUP(ROW()-1,Дела!$A:$M,13,0),"")</f>
        <v/>
      </c>
      <c r="G289" s="13" t="str">
        <f>IF(COUNTIF(Дела!$A:$A,ROW()-1)&gt;0,VLOOKUP(ROW()-1,Дела!$A:$N,14,0),"")</f>
        <v/>
      </c>
      <c r="H289" s="11" t="str">
        <f>IF(COUNTIF(Дела!$A:$A,ROW()-1)&gt;0,VLOOKUP(ROW()-1,Дела!$A:$K,11,0),"")</f>
        <v/>
      </c>
    </row>
    <row r="290" spans="1:8" x14ac:dyDescent="0.25">
      <c r="A290" s="11" t="str">
        <f>IF(COUNTIF(Дела!$A:$A,ROW()-1)&gt;0,VLOOKUP(ROW()-1,Дела!$A:$C,3,0),"")</f>
        <v/>
      </c>
      <c r="B290" s="11" t="str">
        <f>IF(COUNTIF(Дела!$A:$A,ROW()-1)&gt;0,VLOOKUP(ROW()-1,Дела!$A:$F,6,0),"")</f>
        <v/>
      </c>
      <c r="C290" s="11" t="str">
        <f>IF(COUNTIF(Дела!$A:$A,ROW()-1)&gt;0,VLOOKUP(ROW()-1,Дела!$A:$G,7,0),"")</f>
        <v/>
      </c>
      <c r="D290" s="11" t="str">
        <f>IF(COUNTIF(Дела!$A:$A,ROW()-1)&gt;0,VLOOKUP(ROW()-1,Дела!$A:$I,9,0),"")</f>
        <v/>
      </c>
      <c r="E290" s="11" t="str">
        <f t="shared" si="4"/>
        <v/>
      </c>
      <c r="F290" s="12" t="str">
        <f>IF(COUNTIF(Дела!$A:$A,ROW()-1)&gt;0,VLOOKUP(ROW()-1,Дела!$A:$M,13,0),"")</f>
        <v/>
      </c>
      <c r="G290" s="13" t="str">
        <f>IF(COUNTIF(Дела!$A:$A,ROW()-1)&gt;0,VLOOKUP(ROW()-1,Дела!$A:$N,14,0),"")</f>
        <v/>
      </c>
      <c r="H290" s="11" t="str">
        <f>IF(COUNTIF(Дела!$A:$A,ROW()-1)&gt;0,VLOOKUP(ROW()-1,Дела!$A:$K,11,0),"")</f>
        <v/>
      </c>
    </row>
    <row r="291" spans="1:8" x14ac:dyDescent="0.25">
      <c r="A291" s="11" t="str">
        <f>IF(COUNTIF(Дела!$A:$A,ROW()-1)&gt;0,VLOOKUP(ROW()-1,Дела!$A:$C,3,0),"")</f>
        <v/>
      </c>
      <c r="B291" s="11" t="str">
        <f>IF(COUNTIF(Дела!$A:$A,ROW()-1)&gt;0,VLOOKUP(ROW()-1,Дела!$A:$F,6,0),"")</f>
        <v/>
      </c>
      <c r="C291" s="11" t="str">
        <f>IF(COUNTIF(Дела!$A:$A,ROW()-1)&gt;0,VLOOKUP(ROW()-1,Дела!$A:$G,7,0),"")</f>
        <v/>
      </c>
      <c r="D291" s="11" t="str">
        <f>IF(COUNTIF(Дела!$A:$A,ROW()-1)&gt;0,VLOOKUP(ROW()-1,Дела!$A:$I,9,0),"")</f>
        <v/>
      </c>
      <c r="E291" s="11" t="str">
        <f t="shared" si="4"/>
        <v/>
      </c>
      <c r="F291" s="12" t="str">
        <f>IF(COUNTIF(Дела!$A:$A,ROW()-1)&gt;0,VLOOKUP(ROW()-1,Дела!$A:$M,13,0),"")</f>
        <v/>
      </c>
      <c r="G291" s="13" t="str">
        <f>IF(COUNTIF(Дела!$A:$A,ROW()-1)&gt;0,VLOOKUP(ROW()-1,Дела!$A:$N,14,0),"")</f>
        <v/>
      </c>
      <c r="H291" s="11" t="str">
        <f>IF(COUNTIF(Дела!$A:$A,ROW()-1)&gt;0,VLOOKUP(ROW()-1,Дела!$A:$K,11,0),"")</f>
        <v/>
      </c>
    </row>
    <row r="292" spans="1:8" x14ac:dyDescent="0.25">
      <c r="A292" s="11" t="str">
        <f>IF(COUNTIF(Дела!$A:$A,ROW()-1)&gt;0,VLOOKUP(ROW()-1,Дела!$A:$C,3,0),"")</f>
        <v/>
      </c>
      <c r="B292" s="11" t="str">
        <f>IF(COUNTIF(Дела!$A:$A,ROW()-1)&gt;0,VLOOKUP(ROW()-1,Дела!$A:$F,6,0),"")</f>
        <v/>
      </c>
      <c r="C292" s="11" t="str">
        <f>IF(COUNTIF(Дела!$A:$A,ROW()-1)&gt;0,VLOOKUP(ROW()-1,Дела!$A:$G,7,0),"")</f>
        <v/>
      </c>
      <c r="D292" s="11" t="str">
        <f>IF(COUNTIF(Дела!$A:$A,ROW()-1)&gt;0,VLOOKUP(ROW()-1,Дела!$A:$I,9,0),"")</f>
        <v/>
      </c>
      <c r="E292" s="11" t="str">
        <f t="shared" si="4"/>
        <v/>
      </c>
      <c r="F292" s="12" t="str">
        <f>IF(COUNTIF(Дела!$A:$A,ROW()-1)&gt;0,VLOOKUP(ROW()-1,Дела!$A:$M,13,0),"")</f>
        <v/>
      </c>
      <c r="G292" s="13" t="str">
        <f>IF(COUNTIF(Дела!$A:$A,ROW()-1)&gt;0,VLOOKUP(ROW()-1,Дела!$A:$N,14,0),"")</f>
        <v/>
      </c>
      <c r="H292" s="11" t="str">
        <f>IF(COUNTIF(Дела!$A:$A,ROW()-1)&gt;0,VLOOKUP(ROW()-1,Дела!$A:$K,11,0),"")</f>
        <v/>
      </c>
    </row>
    <row r="293" spans="1:8" x14ac:dyDescent="0.25">
      <c r="A293" s="11" t="str">
        <f>IF(COUNTIF(Дела!$A:$A,ROW()-1)&gt;0,VLOOKUP(ROW()-1,Дела!$A:$C,3,0),"")</f>
        <v/>
      </c>
      <c r="B293" s="11" t="str">
        <f>IF(COUNTIF(Дела!$A:$A,ROW()-1)&gt;0,VLOOKUP(ROW()-1,Дела!$A:$F,6,0),"")</f>
        <v/>
      </c>
      <c r="C293" s="11" t="str">
        <f>IF(COUNTIF(Дела!$A:$A,ROW()-1)&gt;0,VLOOKUP(ROW()-1,Дела!$A:$G,7,0),"")</f>
        <v/>
      </c>
      <c r="D293" s="11" t="str">
        <f>IF(COUNTIF(Дела!$A:$A,ROW()-1)&gt;0,VLOOKUP(ROW()-1,Дела!$A:$I,9,0),"")</f>
        <v/>
      </c>
      <c r="E293" s="11" t="str">
        <f t="shared" si="4"/>
        <v/>
      </c>
      <c r="F293" s="12" t="str">
        <f>IF(COUNTIF(Дела!$A:$A,ROW()-1)&gt;0,VLOOKUP(ROW()-1,Дела!$A:$M,13,0),"")</f>
        <v/>
      </c>
      <c r="G293" s="13" t="str">
        <f>IF(COUNTIF(Дела!$A:$A,ROW()-1)&gt;0,VLOOKUP(ROW()-1,Дела!$A:$N,14,0),"")</f>
        <v/>
      </c>
      <c r="H293" s="11" t="str">
        <f>IF(COUNTIF(Дела!$A:$A,ROW()-1)&gt;0,VLOOKUP(ROW()-1,Дела!$A:$K,11,0),"")</f>
        <v/>
      </c>
    </row>
    <row r="294" spans="1:8" x14ac:dyDescent="0.25">
      <c r="A294" s="11" t="str">
        <f>IF(COUNTIF(Дела!$A:$A,ROW()-1)&gt;0,VLOOKUP(ROW()-1,Дела!$A:$C,3,0),"")</f>
        <v/>
      </c>
      <c r="B294" s="11" t="str">
        <f>IF(COUNTIF(Дела!$A:$A,ROW()-1)&gt;0,VLOOKUP(ROW()-1,Дела!$A:$F,6,0),"")</f>
        <v/>
      </c>
      <c r="C294" s="11" t="str">
        <f>IF(COUNTIF(Дела!$A:$A,ROW()-1)&gt;0,VLOOKUP(ROW()-1,Дела!$A:$G,7,0),"")</f>
        <v/>
      </c>
      <c r="D294" s="11" t="str">
        <f>IF(COUNTIF(Дела!$A:$A,ROW()-1)&gt;0,VLOOKUP(ROW()-1,Дела!$A:$I,9,0),"")</f>
        <v/>
      </c>
      <c r="E294" s="11" t="str">
        <f t="shared" si="4"/>
        <v/>
      </c>
      <c r="F294" s="12" t="str">
        <f>IF(COUNTIF(Дела!$A:$A,ROW()-1)&gt;0,VLOOKUP(ROW()-1,Дела!$A:$M,13,0),"")</f>
        <v/>
      </c>
      <c r="G294" s="13" t="str">
        <f>IF(COUNTIF(Дела!$A:$A,ROW()-1)&gt;0,VLOOKUP(ROW()-1,Дела!$A:$N,14,0),"")</f>
        <v/>
      </c>
      <c r="H294" s="11" t="str">
        <f>IF(COUNTIF(Дела!$A:$A,ROW()-1)&gt;0,VLOOKUP(ROW()-1,Дела!$A:$K,11,0),"")</f>
        <v/>
      </c>
    </row>
    <row r="295" spans="1:8" x14ac:dyDescent="0.25">
      <c r="A295" s="11" t="str">
        <f>IF(COUNTIF(Дела!$A:$A,ROW()-1)&gt;0,VLOOKUP(ROW()-1,Дела!$A:$C,3,0),"")</f>
        <v/>
      </c>
      <c r="B295" s="11" t="str">
        <f>IF(COUNTIF(Дела!$A:$A,ROW()-1)&gt;0,VLOOKUP(ROW()-1,Дела!$A:$F,6,0),"")</f>
        <v/>
      </c>
      <c r="C295" s="11" t="str">
        <f>IF(COUNTIF(Дела!$A:$A,ROW()-1)&gt;0,VLOOKUP(ROW()-1,Дела!$A:$G,7,0),"")</f>
        <v/>
      </c>
      <c r="D295" s="11" t="str">
        <f>IF(COUNTIF(Дела!$A:$A,ROW()-1)&gt;0,VLOOKUP(ROW()-1,Дела!$A:$I,9,0),"")</f>
        <v/>
      </c>
      <c r="E295" s="11" t="str">
        <f t="shared" si="4"/>
        <v/>
      </c>
      <c r="F295" s="12" t="str">
        <f>IF(COUNTIF(Дела!$A:$A,ROW()-1)&gt;0,VLOOKUP(ROW()-1,Дела!$A:$M,13,0),"")</f>
        <v/>
      </c>
      <c r="G295" s="13" t="str">
        <f>IF(COUNTIF(Дела!$A:$A,ROW()-1)&gt;0,VLOOKUP(ROW()-1,Дела!$A:$N,14,0),"")</f>
        <v/>
      </c>
      <c r="H295" s="11" t="str">
        <f>IF(COUNTIF(Дела!$A:$A,ROW()-1)&gt;0,VLOOKUP(ROW()-1,Дела!$A:$K,11,0),"")</f>
        <v/>
      </c>
    </row>
    <row r="296" spans="1:8" x14ac:dyDescent="0.25">
      <c r="A296" s="11" t="str">
        <f>IF(COUNTIF(Дела!$A:$A,ROW()-1)&gt;0,VLOOKUP(ROW()-1,Дела!$A:$C,3,0),"")</f>
        <v/>
      </c>
      <c r="B296" s="11" t="str">
        <f>IF(COUNTIF(Дела!$A:$A,ROW()-1)&gt;0,VLOOKUP(ROW()-1,Дела!$A:$F,6,0),"")</f>
        <v/>
      </c>
      <c r="C296" s="11" t="str">
        <f>IF(COUNTIF(Дела!$A:$A,ROW()-1)&gt;0,VLOOKUP(ROW()-1,Дела!$A:$G,7,0),"")</f>
        <v/>
      </c>
      <c r="D296" s="11" t="str">
        <f>IF(COUNTIF(Дела!$A:$A,ROW()-1)&gt;0,VLOOKUP(ROW()-1,Дела!$A:$I,9,0),"")</f>
        <v/>
      </c>
      <c r="E296" s="11" t="str">
        <f t="shared" si="4"/>
        <v/>
      </c>
      <c r="F296" s="12" t="str">
        <f>IF(COUNTIF(Дела!$A:$A,ROW()-1)&gt;0,VLOOKUP(ROW()-1,Дела!$A:$M,13,0),"")</f>
        <v/>
      </c>
      <c r="G296" s="13" t="str">
        <f>IF(COUNTIF(Дела!$A:$A,ROW()-1)&gt;0,VLOOKUP(ROW()-1,Дела!$A:$N,14,0),"")</f>
        <v/>
      </c>
      <c r="H296" s="11" t="str">
        <f>IF(COUNTIF(Дела!$A:$A,ROW()-1)&gt;0,VLOOKUP(ROW()-1,Дела!$A:$K,11,0),"")</f>
        <v/>
      </c>
    </row>
    <row r="297" spans="1:8" x14ac:dyDescent="0.25">
      <c r="A297" s="11" t="str">
        <f>IF(COUNTIF(Дела!$A:$A,ROW()-1)&gt;0,VLOOKUP(ROW()-1,Дела!$A:$C,3,0),"")</f>
        <v/>
      </c>
      <c r="B297" s="11" t="str">
        <f>IF(COUNTIF(Дела!$A:$A,ROW()-1)&gt;0,VLOOKUP(ROW()-1,Дела!$A:$F,6,0),"")</f>
        <v/>
      </c>
      <c r="C297" s="11" t="str">
        <f>IF(COUNTIF(Дела!$A:$A,ROW()-1)&gt;0,VLOOKUP(ROW()-1,Дела!$A:$G,7,0),"")</f>
        <v/>
      </c>
      <c r="D297" s="11" t="str">
        <f>IF(COUNTIF(Дела!$A:$A,ROW()-1)&gt;0,VLOOKUP(ROW()-1,Дела!$A:$I,9,0),"")</f>
        <v/>
      </c>
      <c r="E297" s="11" t="str">
        <f t="shared" si="4"/>
        <v/>
      </c>
      <c r="F297" s="12" t="str">
        <f>IF(COUNTIF(Дела!$A:$A,ROW()-1)&gt;0,VLOOKUP(ROW()-1,Дела!$A:$M,13,0),"")</f>
        <v/>
      </c>
      <c r="G297" s="13" t="str">
        <f>IF(COUNTIF(Дела!$A:$A,ROW()-1)&gt;0,VLOOKUP(ROW()-1,Дела!$A:$N,14,0),"")</f>
        <v/>
      </c>
      <c r="H297" s="11" t="str">
        <f>IF(COUNTIF(Дела!$A:$A,ROW()-1)&gt;0,VLOOKUP(ROW()-1,Дела!$A:$K,11,0),"")</f>
        <v/>
      </c>
    </row>
    <row r="298" spans="1:8" x14ac:dyDescent="0.25">
      <c r="A298" s="11" t="str">
        <f>IF(COUNTIF(Дела!$A:$A,ROW()-1)&gt;0,VLOOKUP(ROW()-1,Дела!$A:$C,3,0),"")</f>
        <v/>
      </c>
      <c r="B298" s="11" t="str">
        <f>IF(COUNTIF(Дела!$A:$A,ROW()-1)&gt;0,VLOOKUP(ROW()-1,Дела!$A:$F,6,0),"")</f>
        <v/>
      </c>
      <c r="C298" s="11" t="str">
        <f>IF(COUNTIF(Дела!$A:$A,ROW()-1)&gt;0,VLOOKUP(ROW()-1,Дела!$A:$G,7,0),"")</f>
        <v/>
      </c>
      <c r="D298" s="11" t="str">
        <f>IF(COUNTIF(Дела!$A:$A,ROW()-1)&gt;0,VLOOKUP(ROW()-1,Дела!$A:$I,9,0),"")</f>
        <v/>
      </c>
      <c r="E298" s="11" t="str">
        <f t="shared" si="4"/>
        <v/>
      </c>
      <c r="F298" s="12" t="str">
        <f>IF(COUNTIF(Дела!$A:$A,ROW()-1)&gt;0,VLOOKUP(ROW()-1,Дела!$A:$M,13,0),"")</f>
        <v/>
      </c>
      <c r="G298" s="13" t="str">
        <f>IF(COUNTIF(Дела!$A:$A,ROW()-1)&gt;0,VLOOKUP(ROW()-1,Дела!$A:$N,14,0),"")</f>
        <v/>
      </c>
      <c r="H298" s="11" t="str">
        <f>IF(COUNTIF(Дела!$A:$A,ROW()-1)&gt;0,VLOOKUP(ROW()-1,Дела!$A:$K,11,0),"")</f>
        <v/>
      </c>
    </row>
    <row r="299" spans="1:8" x14ac:dyDescent="0.25">
      <c r="A299" s="11" t="str">
        <f>IF(COUNTIF(Дела!$A:$A,ROW()-1)&gt;0,VLOOKUP(ROW()-1,Дела!$A:$C,3,0),"")</f>
        <v/>
      </c>
      <c r="B299" s="11" t="str">
        <f>IF(COUNTIF(Дела!$A:$A,ROW()-1)&gt;0,VLOOKUP(ROW()-1,Дела!$A:$F,6,0),"")</f>
        <v/>
      </c>
      <c r="C299" s="11" t="str">
        <f>IF(COUNTIF(Дела!$A:$A,ROW()-1)&gt;0,VLOOKUP(ROW()-1,Дела!$A:$G,7,0),"")</f>
        <v/>
      </c>
      <c r="D299" s="11" t="str">
        <f>IF(COUNTIF(Дела!$A:$A,ROW()-1)&gt;0,VLOOKUP(ROW()-1,Дела!$A:$I,9,0),"")</f>
        <v/>
      </c>
      <c r="E299" s="11" t="str">
        <f t="shared" si="4"/>
        <v/>
      </c>
      <c r="F299" s="12" t="str">
        <f>IF(COUNTIF(Дела!$A:$A,ROW()-1)&gt;0,VLOOKUP(ROW()-1,Дела!$A:$M,13,0),"")</f>
        <v/>
      </c>
      <c r="G299" s="13" t="str">
        <f>IF(COUNTIF(Дела!$A:$A,ROW()-1)&gt;0,VLOOKUP(ROW()-1,Дела!$A:$N,14,0),"")</f>
        <v/>
      </c>
      <c r="H299" s="11" t="str">
        <f>IF(COUNTIF(Дела!$A:$A,ROW()-1)&gt;0,VLOOKUP(ROW()-1,Дела!$A:$K,11,0),"")</f>
        <v/>
      </c>
    </row>
    <row r="300" spans="1:8" x14ac:dyDescent="0.25">
      <c r="A300" s="11" t="str">
        <f>IF(COUNTIF(Дела!$A:$A,ROW()-1)&gt;0,VLOOKUP(ROW()-1,Дела!$A:$C,3,0),"")</f>
        <v/>
      </c>
      <c r="B300" s="11" t="str">
        <f>IF(COUNTIF(Дела!$A:$A,ROW()-1)&gt;0,VLOOKUP(ROW()-1,Дела!$A:$F,6,0),"")</f>
        <v/>
      </c>
      <c r="C300" s="11" t="str">
        <f>IF(COUNTIF(Дела!$A:$A,ROW()-1)&gt;0,VLOOKUP(ROW()-1,Дела!$A:$G,7,0),"")</f>
        <v/>
      </c>
      <c r="D300" s="11" t="str">
        <f>IF(COUNTIF(Дела!$A:$A,ROW()-1)&gt;0,VLOOKUP(ROW()-1,Дела!$A:$I,9,0),"")</f>
        <v/>
      </c>
      <c r="E300" s="11" t="str">
        <f t="shared" si="4"/>
        <v/>
      </c>
      <c r="F300" s="12" t="str">
        <f>IF(COUNTIF(Дела!$A:$A,ROW()-1)&gt;0,VLOOKUP(ROW()-1,Дела!$A:$M,13,0),"")</f>
        <v/>
      </c>
      <c r="G300" s="13" t="str">
        <f>IF(COUNTIF(Дела!$A:$A,ROW()-1)&gt;0,VLOOKUP(ROW()-1,Дела!$A:$N,14,0),"")</f>
        <v/>
      </c>
      <c r="H300" s="11" t="str">
        <f>IF(COUNTIF(Дела!$A:$A,ROW()-1)&gt;0,VLOOKUP(ROW()-1,Дела!$A:$K,11,0),"")</f>
        <v/>
      </c>
    </row>
    <row r="301" spans="1:8" x14ac:dyDescent="0.25">
      <c r="A301" s="11" t="str">
        <f>IF(COUNTIF(Дела!$A:$A,ROW()-1)&gt;0,VLOOKUP(ROW()-1,Дела!$A:$C,3,0),"")</f>
        <v/>
      </c>
      <c r="B301" s="11" t="str">
        <f>IF(COUNTIF(Дела!$A:$A,ROW()-1)&gt;0,VLOOKUP(ROW()-1,Дела!$A:$F,6,0),"")</f>
        <v/>
      </c>
      <c r="C301" s="11" t="str">
        <f>IF(COUNTIF(Дела!$A:$A,ROW()-1)&gt;0,VLOOKUP(ROW()-1,Дела!$A:$G,7,0),"")</f>
        <v/>
      </c>
      <c r="D301" s="11" t="str">
        <f>IF(COUNTIF(Дела!$A:$A,ROW()-1)&gt;0,VLOOKUP(ROW()-1,Дела!$A:$I,9,0),"")</f>
        <v/>
      </c>
      <c r="E301" s="11" t="str">
        <f t="shared" si="4"/>
        <v/>
      </c>
      <c r="F301" s="12" t="str">
        <f>IF(COUNTIF(Дела!$A:$A,ROW()-1)&gt;0,VLOOKUP(ROW()-1,Дела!$A:$M,13,0),"")</f>
        <v/>
      </c>
      <c r="G301" s="13" t="str">
        <f>IF(COUNTIF(Дела!$A:$A,ROW()-1)&gt;0,VLOOKUP(ROW()-1,Дела!$A:$N,14,0),"")</f>
        <v/>
      </c>
      <c r="H301" s="11" t="str">
        <f>IF(COUNTIF(Дела!$A:$A,ROW()-1)&gt;0,VLOOKUP(ROW()-1,Дела!$A:$K,11,0),"")</f>
        <v/>
      </c>
    </row>
    <row r="302" spans="1:8" x14ac:dyDescent="0.25">
      <c r="A302" s="11" t="str">
        <f>IF(COUNTIF(Дела!$A:$A,ROW()-1)&gt;0,VLOOKUP(ROW()-1,Дела!$A:$C,3,0),"")</f>
        <v/>
      </c>
      <c r="B302" s="11" t="str">
        <f>IF(COUNTIF(Дела!$A:$A,ROW()-1)&gt;0,VLOOKUP(ROW()-1,Дела!$A:$F,6,0),"")</f>
        <v/>
      </c>
      <c r="C302" s="11" t="str">
        <f>IF(COUNTIF(Дела!$A:$A,ROW()-1)&gt;0,VLOOKUP(ROW()-1,Дела!$A:$G,7,0),"")</f>
        <v/>
      </c>
      <c r="D302" s="11" t="str">
        <f>IF(COUNTIF(Дела!$A:$A,ROW()-1)&gt;0,VLOOKUP(ROW()-1,Дела!$A:$I,9,0),"")</f>
        <v/>
      </c>
      <c r="E302" s="11" t="str">
        <f t="shared" si="4"/>
        <v/>
      </c>
      <c r="F302" s="12" t="str">
        <f>IF(COUNTIF(Дела!$A:$A,ROW()-1)&gt;0,VLOOKUP(ROW()-1,Дела!$A:$M,13,0),"")</f>
        <v/>
      </c>
      <c r="G302" s="13" t="str">
        <f>IF(COUNTIF(Дела!$A:$A,ROW()-1)&gt;0,VLOOKUP(ROW()-1,Дела!$A:$N,14,0),"")</f>
        <v/>
      </c>
      <c r="H302" s="11" t="str">
        <f>IF(COUNTIF(Дела!$A:$A,ROW()-1)&gt;0,VLOOKUP(ROW()-1,Дела!$A:$K,11,0),"")</f>
        <v/>
      </c>
    </row>
    <row r="303" spans="1:8" x14ac:dyDescent="0.25">
      <c r="A303" s="11" t="str">
        <f>IF(COUNTIF(Дела!$A:$A,ROW()-1)&gt;0,VLOOKUP(ROW()-1,Дела!$A:$C,3,0),"")</f>
        <v/>
      </c>
      <c r="B303" s="11" t="str">
        <f>IF(COUNTIF(Дела!$A:$A,ROW()-1)&gt;0,VLOOKUP(ROW()-1,Дела!$A:$F,6,0),"")</f>
        <v/>
      </c>
      <c r="C303" s="11" t="str">
        <f>IF(COUNTIF(Дела!$A:$A,ROW()-1)&gt;0,VLOOKUP(ROW()-1,Дела!$A:$G,7,0),"")</f>
        <v/>
      </c>
      <c r="D303" s="11" t="str">
        <f>IF(COUNTIF(Дела!$A:$A,ROW()-1)&gt;0,VLOOKUP(ROW()-1,Дела!$A:$I,9,0),"")</f>
        <v/>
      </c>
      <c r="E303" s="11" t="str">
        <f t="shared" si="4"/>
        <v/>
      </c>
      <c r="F303" s="12" t="str">
        <f>IF(COUNTIF(Дела!$A:$A,ROW()-1)&gt;0,VLOOKUP(ROW()-1,Дела!$A:$M,13,0),"")</f>
        <v/>
      </c>
      <c r="G303" s="13" t="str">
        <f>IF(COUNTIF(Дела!$A:$A,ROW()-1)&gt;0,VLOOKUP(ROW()-1,Дела!$A:$N,14,0),"")</f>
        <v/>
      </c>
      <c r="H303" s="11" t="str">
        <f>IF(COUNTIF(Дела!$A:$A,ROW()-1)&gt;0,VLOOKUP(ROW()-1,Дела!$A:$K,11,0),"")</f>
        <v/>
      </c>
    </row>
    <row r="304" spans="1:8" x14ac:dyDescent="0.25">
      <c r="A304" s="11" t="str">
        <f>IF(COUNTIF(Дела!$A:$A,ROW()-1)&gt;0,VLOOKUP(ROW()-1,Дела!$A:$C,3,0),"")</f>
        <v/>
      </c>
      <c r="B304" s="11" t="str">
        <f>IF(COUNTIF(Дела!$A:$A,ROW()-1)&gt;0,VLOOKUP(ROW()-1,Дела!$A:$F,6,0),"")</f>
        <v/>
      </c>
      <c r="C304" s="11" t="str">
        <f>IF(COUNTIF(Дела!$A:$A,ROW()-1)&gt;0,VLOOKUP(ROW()-1,Дела!$A:$G,7,0),"")</f>
        <v/>
      </c>
      <c r="D304" s="11" t="str">
        <f>IF(COUNTIF(Дела!$A:$A,ROW()-1)&gt;0,VLOOKUP(ROW()-1,Дела!$A:$I,9,0),"")</f>
        <v/>
      </c>
      <c r="E304" s="11" t="str">
        <f t="shared" si="4"/>
        <v/>
      </c>
      <c r="F304" s="12" t="str">
        <f>IF(COUNTIF(Дела!$A:$A,ROW()-1)&gt;0,VLOOKUP(ROW()-1,Дела!$A:$M,13,0),"")</f>
        <v/>
      </c>
      <c r="G304" s="13" t="str">
        <f>IF(COUNTIF(Дела!$A:$A,ROW()-1)&gt;0,VLOOKUP(ROW()-1,Дела!$A:$N,14,0),"")</f>
        <v/>
      </c>
      <c r="H304" s="11" t="str">
        <f>IF(COUNTIF(Дела!$A:$A,ROW()-1)&gt;0,VLOOKUP(ROW()-1,Дела!$A:$K,11,0),"")</f>
        <v/>
      </c>
    </row>
    <row r="305" spans="1:8" x14ac:dyDescent="0.25">
      <c r="A305" s="11" t="str">
        <f>IF(COUNTIF(Дела!$A:$A,ROW()-1)&gt;0,VLOOKUP(ROW()-1,Дела!$A:$C,3,0),"")</f>
        <v/>
      </c>
      <c r="B305" s="11" t="str">
        <f>IF(COUNTIF(Дела!$A:$A,ROW()-1)&gt;0,VLOOKUP(ROW()-1,Дела!$A:$F,6,0),"")</f>
        <v/>
      </c>
      <c r="C305" s="11" t="str">
        <f>IF(COUNTIF(Дела!$A:$A,ROW()-1)&gt;0,VLOOKUP(ROW()-1,Дела!$A:$G,7,0),"")</f>
        <v/>
      </c>
      <c r="D305" s="11" t="str">
        <f>IF(COUNTIF(Дела!$A:$A,ROW()-1)&gt;0,VLOOKUP(ROW()-1,Дела!$A:$I,9,0),"")</f>
        <v/>
      </c>
      <c r="E305" s="11" t="str">
        <f t="shared" si="4"/>
        <v/>
      </c>
      <c r="F305" s="12" t="str">
        <f>IF(COUNTIF(Дела!$A:$A,ROW()-1)&gt;0,VLOOKUP(ROW()-1,Дела!$A:$M,13,0),"")</f>
        <v/>
      </c>
      <c r="G305" s="13" t="str">
        <f>IF(COUNTIF(Дела!$A:$A,ROW()-1)&gt;0,VLOOKUP(ROW()-1,Дела!$A:$N,14,0),"")</f>
        <v/>
      </c>
      <c r="H305" s="11" t="str">
        <f>IF(COUNTIF(Дела!$A:$A,ROW()-1)&gt;0,VLOOKUP(ROW()-1,Дела!$A:$K,11,0),"")</f>
        <v/>
      </c>
    </row>
    <row r="306" spans="1:8" x14ac:dyDescent="0.25">
      <c r="A306" s="11" t="str">
        <f>IF(COUNTIF(Дела!$A:$A,ROW()-1)&gt;0,VLOOKUP(ROW()-1,Дела!$A:$C,3,0),"")</f>
        <v/>
      </c>
      <c r="B306" s="11" t="str">
        <f>IF(COUNTIF(Дела!$A:$A,ROW()-1)&gt;0,VLOOKUP(ROW()-1,Дела!$A:$F,6,0),"")</f>
        <v/>
      </c>
      <c r="C306" s="11" t="str">
        <f>IF(COUNTIF(Дела!$A:$A,ROW()-1)&gt;0,VLOOKUP(ROW()-1,Дела!$A:$G,7,0),"")</f>
        <v/>
      </c>
      <c r="D306" s="11" t="str">
        <f>IF(COUNTIF(Дела!$A:$A,ROW()-1)&gt;0,VLOOKUP(ROW()-1,Дела!$A:$I,9,0),"")</f>
        <v/>
      </c>
      <c r="E306" s="11" t="str">
        <f t="shared" si="4"/>
        <v/>
      </c>
      <c r="F306" s="12" t="str">
        <f>IF(COUNTIF(Дела!$A:$A,ROW()-1)&gt;0,VLOOKUP(ROW()-1,Дела!$A:$M,13,0),"")</f>
        <v/>
      </c>
      <c r="G306" s="13" t="str">
        <f>IF(COUNTIF(Дела!$A:$A,ROW()-1)&gt;0,VLOOKUP(ROW()-1,Дела!$A:$N,14,0),"")</f>
        <v/>
      </c>
      <c r="H306" s="11" t="str">
        <f>IF(COUNTIF(Дела!$A:$A,ROW()-1)&gt;0,VLOOKUP(ROW()-1,Дела!$A:$K,11,0),"")</f>
        <v/>
      </c>
    </row>
    <row r="307" spans="1:8" x14ac:dyDescent="0.25">
      <c r="A307" s="11" t="str">
        <f>IF(COUNTIF(Дела!$A:$A,ROW()-1)&gt;0,VLOOKUP(ROW()-1,Дела!$A:$C,3,0),"")</f>
        <v/>
      </c>
      <c r="B307" s="11" t="str">
        <f>IF(COUNTIF(Дела!$A:$A,ROW()-1)&gt;0,VLOOKUP(ROW()-1,Дела!$A:$F,6,0),"")</f>
        <v/>
      </c>
      <c r="C307" s="11" t="str">
        <f>IF(COUNTIF(Дела!$A:$A,ROW()-1)&gt;0,VLOOKUP(ROW()-1,Дела!$A:$G,7,0),"")</f>
        <v/>
      </c>
      <c r="D307" s="11" t="str">
        <f>IF(COUNTIF(Дела!$A:$A,ROW()-1)&gt;0,VLOOKUP(ROW()-1,Дела!$A:$I,9,0),"")</f>
        <v/>
      </c>
      <c r="E307" s="11" t="str">
        <f t="shared" si="4"/>
        <v/>
      </c>
      <c r="F307" s="12" t="str">
        <f>IF(COUNTIF(Дела!$A:$A,ROW()-1)&gt;0,VLOOKUP(ROW()-1,Дела!$A:$M,13,0),"")</f>
        <v/>
      </c>
      <c r="G307" s="13" t="str">
        <f>IF(COUNTIF(Дела!$A:$A,ROW()-1)&gt;0,VLOOKUP(ROW()-1,Дела!$A:$N,14,0),"")</f>
        <v/>
      </c>
      <c r="H307" s="11" t="str">
        <f>IF(COUNTIF(Дела!$A:$A,ROW()-1)&gt;0,VLOOKUP(ROW()-1,Дела!$A:$K,11,0),"")</f>
        <v/>
      </c>
    </row>
    <row r="308" spans="1:8" x14ac:dyDescent="0.25">
      <c r="A308" s="11" t="str">
        <f>IF(COUNTIF(Дела!$A:$A,ROW()-1)&gt;0,VLOOKUP(ROW()-1,Дела!$A:$C,3,0),"")</f>
        <v/>
      </c>
      <c r="B308" s="11" t="str">
        <f>IF(COUNTIF(Дела!$A:$A,ROW()-1)&gt;0,VLOOKUP(ROW()-1,Дела!$A:$F,6,0),"")</f>
        <v/>
      </c>
      <c r="C308" s="11" t="str">
        <f>IF(COUNTIF(Дела!$A:$A,ROW()-1)&gt;0,VLOOKUP(ROW()-1,Дела!$A:$G,7,0),"")</f>
        <v/>
      </c>
      <c r="D308" s="11" t="str">
        <f>IF(COUNTIF(Дела!$A:$A,ROW()-1)&gt;0,VLOOKUP(ROW()-1,Дела!$A:$I,9,0),"")</f>
        <v/>
      </c>
      <c r="E308" s="11" t="str">
        <f t="shared" si="4"/>
        <v/>
      </c>
      <c r="F308" s="12" t="str">
        <f>IF(COUNTIF(Дела!$A:$A,ROW()-1)&gt;0,VLOOKUP(ROW()-1,Дела!$A:$M,13,0),"")</f>
        <v/>
      </c>
      <c r="G308" s="13" t="str">
        <f>IF(COUNTIF(Дела!$A:$A,ROW()-1)&gt;0,VLOOKUP(ROW()-1,Дела!$A:$N,14,0),"")</f>
        <v/>
      </c>
      <c r="H308" s="11" t="str">
        <f>IF(COUNTIF(Дела!$A:$A,ROW()-1)&gt;0,VLOOKUP(ROW()-1,Дела!$A:$K,11,0),"")</f>
        <v/>
      </c>
    </row>
    <row r="309" spans="1:8" x14ac:dyDescent="0.25">
      <c r="A309" s="11" t="str">
        <f>IF(COUNTIF(Дела!$A:$A,ROW()-1)&gt;0,VLOOKUP(ROW()-1,Дела!$A:$C,3,0),"")</f>
        <v/>
      </c>
      <c r="B309" s="11" t="str">
        <f>IF(COUNTIF(Дела!$A:$A,ROW()-1)&gt;0,VLOOKUP(ROW()-1,Дела!$A:$F,6,0),"")</f>
        <v/>
      </c>
      <c r="C309" s="11" t="str">
        <f>IF(COUNTIF(Дела!$A:$A,ROW()-1)&gt;0,VLOOKUP(ROW()-1,Дела!$A:$G,7,0),"")</f>
        <v/>
      </c>
      <c r="D309" s="11" t="str">
        <f>IF(COUNTIF(Дела!$A:$A,ROW()-1)&gt;0,VLOOKUP(ROW()-1,Дела!$A:$I,9,0),"")</f>
        <v/>
      </c>
      <c r="E309" s="11" t="str">
        <f t="shared" si="4"/>
        <v/>
      </c>
      <c r="F309" s="12" t="str">
        <f>IF(COUNTIF(Дела!$A:$A,ROW()-1)&gt;0,VLOOKUP(ROW()-1,Дела!$A:$M,13,0),"")</f>
        <v/>
      </c>
      <c r="G309" s="13" t="str">
        <f>IF(COUNTIF(Дела!$A:$A,ROW()-1)&gt;0,VLOOKUP(ROW()-1,Дела!$A:$N,14,0),"")</f>
        <v/>
      </c>
      <c r="H309" s="11" t="str">
        <f>IF(COUNTIF(Дела!$A:$A,ROW()-1)&gt;0,VLOOKUP(ROW()-1,Дела!$A:$K,11,0),"")</f>
        <v/>
      </c>
    </row>
    <row r="310" spans="1:8" x14ac:dyDescent="0.25">
      <c r="A310" s="11" t="str">
        <f>IF(COUNTIF(Дела!$A:$A,ROW()-1)&gt;0,VLOOKUP(ROW()-1,Дела!$A:$C,3,0),"")</f>
        <v/>
      </c>
      <c r="B310" s="11" t="str">
        <f>IF(COUNTIF(Дела!$A:$A,ROW()-1)&gt;0,VLOOKUP(ROW()-1,Дела!$A:$F,6,0),"")</f>
        <v/>
      </c>
      <c r="C310" s="11" t="str">
        <f>IF(COUNTIF(Дела!$A:$A,ROW()-1)&gt;0,VLOOKUP(ROW()-1,Дела!$A:$G,7,0),"")</f>
        <v/>
      </c>
      <c r="D310" s="11" t="str">
        <f>IF(COUNTIF(Дела!$A:$A,ROW()-1)&gt;0,VLOOKUP(ROW()-1,Дела!$A:$I,9,0),"")</f>
        <v/>
      </c>
      <c r="E310" s="11" t="str">
        <f t="shared" si="4"/>
        <v/>
      </c>
      <c r="F310" s="12" t="str">
        <f>IF(COUNTIF(Дела!$A:$A,ROW()-1)&gt;0,VLOOKUP(ROW()-1,Дела!$A:$M,13,0),"")</f>
        <v/>
      </c>
      <c r="G310" s="13" t="str">
        <f>IF(COUNTIF(Дела!$A:$A,ROW()-1)&gt;0,VLOOKUP(ROW()-1,Дела!$A:$N,14,0),"")</f>
        <v/>
      </c>
      <c r="H310" s="11" t="str">
        <f>IF(COUNTIF(Дела!$A:$A,ROW()-1)&gt;0,VLOOKUP(ROW()-1,Дела!$A:$K,11,0),"")</f>
        <v/>
      </c>
    </row>
    <row r="311" spans="1:8" x14ac:dyDescent="0.25">
      <c r="A311" s="11" t="str">
        <f>IF(COUNTIF(Дела!$A:$A,ROW()-1)&gt;0,VLOOKUP(ROW()-1,Дела!$A:$C,3,0),"")</f>
        <v/>
      </c>
      <c r="B311" s="11" t="str">
        <f>IF(COUNTIF(Дела!$A:$A,ROW()-1)&gt;0,VLOOKUP(ROW()-1,Дела!$A:$F,6,0),"")</f>
        <v/>
      </c>
      <c r="C311" s="11" t="str">
        <f>IF(COUNTIF(Дела!$A:$A,ROW()-1)&gt;0,VLOOKUP(ROW()-1,Дела!$A:$G,7,0),"")</f>
        <v/>
      </c>
      <c r="D311" s="11" t="str">
        <f>IF(COUNTIF(Дела!$A:$A,ROW()-1)&gt;0,VLOOKUP(ROW()-1,Дела!$A:$I,9,0),"")</f>
        <v/>
      </c>
      <c r="E311" s="11" t="str">
        <f t="shared" si="4"/>
        <v/>
      </c>
      <c r="F311" s="12" t="str">
        <f>IF(COUNTIF(Дела!$A:$A,ROW()-1)&gt;0,VLOOKUP(ROW()-1,Дела!$A:$M,13,0),"")</f>
        <v/>
      </c>
      <c r="G311" s="13" t="str">
        <f>IF(COUNTIF(Дела!$A:$A,ROW()-1)&gt;0,VLOOKUP(ROW()-1,Дела!$A:$N,14,0),"")</f>
        <v/>
      </c>
      <c r="H311" s="11" t="str">
        <f>IF(COUNTIF(Дела!$A:$A,ROW()-1)&gt;0,VLOOKUP(ROW()-1,Дела!$A:$K,11,0),"")</f>
        <v/>
      </c>
    </row>
    <row r="312" spans="1:8" x14ac:dyDescent="0.25">
      <c r="A312" s="11" t="str">
        <f>IF(COUNTIF(Дела!$A:$A,ROW()-1)&gt;0,VLOOKUP(ROW()-1,Дела!$A:$C,3,0),"")</f>
        <v/>
      </c>
      <c r="B312" s="11" t="str">
        <f>IF(COUNTIF(Дела!$A:$A,ROW()-1)&gt;0,VLOOKUP(ROW()-1,Дела!$A:$F,6,0),"")</f>
        <v/>
      </c>
      <c r="C312" s="11" t="str">
        <f>IF(COUNTIF(Дела!$A:$A,ROW()-1)&gt;0,VLOOKUP(ROW()-1,Дела!$A:$G,7,0),"")</f>
        <v/>
      </c>
      <c r="D312" s="11" t="str">
        <f>IF(COUNTIF(Дела!$A:$A,ROW()-1)&gt;0,VLOOKUP(ROW()-1,Дела!$A:$I,9,0),"")</f>
        <v/>
      </c>
      <c r="E312" s="11" t="str">
        <f t="shared" si="4"/>
        <v/>
      </c>
      <c r="F312" s="12" t="str">
        <f>IF(COUNTIF(Дела!$A:$A,ROW()-1)&gt;0,VLOOKUP(ROW()-1,Дела!$A:$M,13,0),"")</f>
        <v/>
      </c>
      <c r="G312" s="13" t="str">
        <f>IF(COUNTIF(Дела!$A:$A,ROW()-1)&gt;0,VLOOKUP(ROW()-1,Дела!$A:$N,14,0),"")</f>
        <v/>
      </c>
      <c r="H312" s="11" t="str">
        <f>IF(COUNTIF(Дела!$A:$A,ROW()-1)&gt;0,VLOOKUP(ROW()-1,Дела!$A:$K,11,0),"")</f>
        <v/>
      </c>
    </row>
    <row r="313" spans="1:8" x14ac:dyDescent="0.25">
      <c r="A313" s="11" t="str">
        <f>IF(COUNTIF(Дела!$A:$A,ROW()-1)&gt;0,VLOOKUP(ROW()-1,Дела!$A:$C,3,0),"")</f>
        <v/>
      </c>
      <c r="B313" s="11" t="str">
        <f>IF(COUNTIF(Дела!$A:$A,ROW()-1)&gt;0,VLOOKUP(ROW()-1,Дела!$A:$F,6,0),"")</f>
        <v/>
      </c>
      <c r="C313" s="11" t="str">
        <f>IF(COUNTIF(Дела!$A:$A,ROW()-1)&gt;0,VLOOKUP(ROW()-1,Дела!$A:$G,7,0),"")</f>
        <v/>
      </c>
      <c r="D313" s="11" t="str">
        <f>IF(COUNTIF(Дела!$A:$A,ROW()-1)&gt;0,VLOOKUP(ROW()-1,Дела!$A:$I,9,0),"")</f>
        <v/>
      </c>
      <c r="E313" s="11" t="str">
        <f t="shared" si="4"/>
        <v/>
      </c>
      <c r="F313" s="12" t="str">
        <f>IF(COUNTIF(Дела!$A:$A,ROW()-1)&gt;0,VLOOKUP(ROW()-1,Дела!$A:$M,13,0),"")</f>
        <v/>
      </c>
      <c r="G313" s="13" t="str">
        <f>IF(COUNTIF(Дела!$A:$A,ROW()-1)&gt;0,VLOOKUP(ROW()-1,Дела!$A:$N,14,0),"")</f>
        <v/>
      </c>
      <c r="H313" s="11" t="str">
        <f>IF(COUNTIF(Дела!$A:$A,ROW()-1)&gt;0,VLOOKUP(ROW()-1,Дела!$A:$K,11,0),"")</f>
        <v/>
      </c>
    </row>
    <row r="314" spans="1:8" x14ac:dyDescent="0.25">
      <c r="A314" s="11" t="str">
        <f>IF(COUNTIF(Дела!$A:$A,ROW()-1)&gt;0,VLOOKUP(ROW()-1,Дела!$A:$C,3,0),"")</f>
        <v/>
      </c>
      <c r="B314" s="11" t="str">
        <f>IF(COUNTIF(Дела!$A:$A,ROW()-1)&gt;0,VLOOKUP(ROW()-1,Дела!$A:$F,6,0),"")</f>
        <v/>
      </c>
      <c r="C314" s="11" t="str">
        <f>IF(COUNTIF(Дела!$A:$A,ROW()-1)&gt;0,VLOOKUP(ROW()-1,Дела!$A:$G,7,0),"")</f>
        <v/>
      </c>
      <c r="D314" s="11" t="str">
        <f>IF(COUNTIF(Дела!$A:$A,ROW()-1)&gt;0,VLOOKUP(ROW()-1,Дела!$A:$I,9,0),"")</f>
        <v/>
      </c>
      <c r="E314" s="11" t="str">
        <f t="shared" si="4"/>
        <v/>
      </c>
      <c r="F314" s="12" t="str">
        <f>IF(COUNTIF(Дела!$A:$A,ROW()-1)&gt;0,VLOOKUP(ROW()-1,Дела!$A:$M,13,0),"")</f>
        <v/>
      </c>
      <c r="G314" s="13" t="str">
        <f>IF(COUNTIF(Дела!$A:$A,ROW()-1)&gt;0,VLOOKUP(ROW()-1,Дела!$A:$N,14,0),"")</f>
        <v/>
      </c>
      <c r="H314" s="11" t="str">
        <f>IF(COUNTIF(Дела!$A:$A,ROW()-1)&gt;0,VLOOKUP(ROW()-1,Дела!$A:$K,11,0),"")</f>
        <v/>
      </c>
    </row>
    <row r="315" spans="1:8" x14ac:dyDescent="0.25">
      <c r="A315" s="11" t="str">
        <f>IF(COUNTIF(Дела!$A:$A,ROW()-1)&gt;0,VLOOKUP(ROW()-1,Дела!$A:$C,3,0),"")</f>
        <v/>
      </c>
      <c r="B315" s="11" t="str">
        <f>IF(COUNTIF(Дела!$A:$A,ROW()-1)&gt;0,VLOOKUP(ROW()-1,Дела!$A:$F,6,0),"")</f>
        <v/>
      </c>
      <c r="C315" s="11" t="str">
        <f>IF(COUNTIF(Дела!$A:$A,ROW()-1)&gt;0,VLOOKUP(ROW()-1,Дела!$A:$G,7,0),"")</f>
        <v/>
      </c>
      <c r="D315" s="11" t="str">
        <f>IF(COUNTIF(Дела!$A:$A,ROW()-1)&gt;0,VLOOKUP(ROW()-1,Дела!$A:$I,9,0),"")</f>
        <v/>
      </c>
      <c r="E315" s="11" t="str">
        <f t="shared" si="4"/>
        <v/>
      </c>
      <c r="F315" s="12" t="str">
        <f>IF(COUNTIF(Дела!$A:$A,ROW()-1)&gt;0,VLOOKUP(ROW()-1,Дела!$A:$M,13,0),"")</f>
        <v/>
      </c>
      <c r="G315" s="13" t="str">
        <f>IF(COUNTIF(Дела!$A:$A,ROW()-1)&gt;0,VLOOKUP(ROW()-1,Дела!$A:$N,14,0),"")</f>
        <v/>
      </c>
      <c r="H315" s="11" t="str">
        <f>IF(COUNTIF(Дела!$A:$A,ROW()-1)&gt;0,VLOOKUP(ROW()-1,Дела!$A:$K,11,0),"")</f>
        <v/>
      </c>
    </row>
    <row r="316" spans="1:8" x14ac:dyDescent="0.25">
      <c r="A316" s="11" t="str">
        <f>IF(COUNTIF(Дела!$A:$A,ROW()-1)&gt;0,VLOOKUP(ROW()-1,Дела!$A:$C,3,0),"")</f>
        <v/>
      </c>
      <c r="B316" s="11" t="str">
        <f>IF(COUNTIF(Дела!$A:$A,ROW()-1)&gt;0,VLOOKUP(ROW()-1,Дела!$A:$F,6,0),"")</f>
        <v/>
      </c>
      <c r="C316" s="11" t="str">
        <f>IF(COUNTIF(Дела!$A:$A,ROW()-1)&gt;0,VLOOKUP(ROW()-1,Дела!$A:$G,7,0),"")</f>
        <v/>
      </c>
      <c r="D316" s="11" t="str">
        <f>IF(COUNTIF(Дела!$A:$A,ROW()-1)&gt;0,VLOOKUP(ROW()-1,Дела!$A:$I,9,0),"")</f>
        <v/>
      </c>
      <c r="E316" s="11" t="str">
        <f t="shared" si="4"/>
        <v/>
      </c>
      <c r="F316" s="12" t="str">
        <f>IF(COUNTIF(Дела!$A:$A,ROW()-1)&gt;0,VLOOKUP(ROW()-1,Дела!$A:$M,13,0),"")</f>
        <v/>
      </c>
      <c r="G316" s="13" t="str">
        <f>IF(COUNTIF(Дела!$A:$A,ROW()-1)&gt;0,VLOOKUP(ROW()-1,Дела!$A:$N,14,0),"")</f>
        <v/>
      </c>
      <c r="H316" s="11" t="str">
        <f>IF(COUNTIF(Дела!$A:$A,ROW()-1)&gt;0,VLOOKUP(ROW()-1,Дела!$A:$K,11,0),"")</f>
        <v/>
      </c>
    </row>
    <row r="317" spans="1:8" x14ac:dyDescent="0.25">
      <c r="A317" s="11" t="str">
        <f>IF(COUNTIF(Дела!$A:$A,ROW()-1)&gt;0,VLOOKUP(ROW()-1,Дела!$A:$C,3,0),"")</f>
        <v/>
      </c>
      <c r="B317" s="11" t="str">
        <f>IF(COUNTIF(Дела!$A:$A,ROW()-1)&gt;0,VLOOKUP(ROW()-1,Дела!$A:$F,6,0),"")</f>
        <v/>
      </c>
      <c r="C317" s="11" t="str">
        <f>IF(COUNTIF(Дела!$A:$A,ROW()-1)&gt;0,VLOOKUP(ROW()-1,Дела!$A:$G,7,0),"")</f>
        <v/>
      </c>
      <c r="D317" s="11" t="str">
        <f>IF(COUNTIF(Дела!$A:$A,ROW()-1)&gt;0,VLOOKUP(ROW()-1,Дела!$A:$I,9,0),"")</f>
        <v/>
      </c>
      <c r="E317" s="11" t="str">
        <f t="shared" si="4"/>
        <v/>
      </c>
      <c r="F317" s="12" t="str">
        <f>IF(COUNTIF(Дела!$A:$A,ROW()-1)&gt;0,VLOOKUP(ROW()-1,Дела!$A:$M,13,0),"")</f>
        <v/>
      </c>
      <c r="G317" s="13" t="str">
        <f>IF(COUNTIF(Дела!$A:$A,ROW()-1)&gt;0,VLOOKUP(ROW()-1,Дела!$A:$N,14,0),"")</f>
        <v/>
      </c>
      <c r="H317" s="11" t="str">
        <f>IF(COUNTIF(Дела!$A:$A,ROW()-1)&gt;0,VLOOKUP(ROW()-1,Дела!$A:$K,11,0),"")</f>
        <v/>
      </c>
    </row>
    <row r="318" spans="1:8" x14ac:dyDescent="0.25">
      <c r="A318" s="11" t="str">
        <f>IF(COUNTIF(Дела!$A:$A,ROW()-1)&gt;0,VLOOKUP(ROW()-1,Дела!$A:$C,3,0),"")</f>
        <v/>
      </c>
      <c r="B318" s="11" t="str">
        <f>IF(COUNTIF(Дела!$A:$A,ROW()-1)&gt;0,VLOOKUP(ROW()-1,Дела!$A:$F,6,0),"")</f>
        <v/>
      </c>
      <c r="C318" s="11" t="str">
        <f>IF(COUNTIF(Дела!$A:$A,ROW()-1)&gt;0,VLOOKUP(ROW()-1,Дела!$A:$G,7,0),"")</f>
        <v/>
      </c>
      <c r="D318" s="11" t="str">
        <f>IF(COUNTIF(Дела!$A:$A,ROW()-1)&gt;0,VLOOKUP(ROW()-1,Дела!$A:$I,9,0),"")</f>
        <v/>
      </c>
      <c r="E318" s="11" t="str">
        <f t="shared" si="4"/>
        <v/>
      </c>
      <c r="F318" s="12" t="str">
        <f>IF(COUNTIF(Дела!$A:$A,ROW()-1)&gt;0,VLOOKUP(ROW()-1,Дела!$A:$M,13,0),"")</f>
        <v/>
      </c>
      <c r="G318" s="13" t="str">
        <f>IF(COUNTIF(Дела!$A:$A,ROW()-1)&gt;0,VLOOKUP(ROW()-1,Дела!$A:$N,14,0),"")</f>
        <v/>
      </c>
      <c r="H318" s="11" t="str">
        <f>IF(COUNTIF(Дела!$A:$A,ROW()-1)&gt;0,VLOOKUP(ROW()-1,Дела!$A:$K,11,0),"")</f>
        <v/>
      </c>
    </row>
    <row r="319" spans="1:8" x14ac:dyDescent="0.25">
      <c r="A319" s="11" t="str">
        <f>IF(COUNTIF(Дела!$A:$A,ROW()-1)&gt;0,VLOOKUP(ROW()-1,Дела!$A:$C,3,0),"")</f>
        <v/>
      </c>
      <c r="B319" s="11" t="str">
        <f>IF(COUNTIF(Дела!$A:$A,ROW()-1)&gt;0,VLOOKUP(ROW()-1,Дела!$A:$F,6,0),"")</f>
        <v/>
      </c>
      <c r="C319" s="11" t="str">
        <f>IF(COUNTIF(Дела!$A:$A,ROW()-1)&gt;0,VLOOKUP(ROW()-1,Дела!$A:$G,7,0),"")</f>
        <v/>
      </c>
      <c r="D319" s="11" t="str">
        <f>IF(COUNTIF(Дела!$A:$A,ROW()-1)&gt;0,VLOOKUP(ROW()-1,Дела!$A:$I,9,0),"")</f>
        <v/>
      </c>
      <c r="E319" s="11" t="str">
        <f t="shared" si="4"/>
        <v/>
      </c>
      <c r="F319" s="12" t="str">
        <f>IF(COUNTIF(Дела!$A:$A,ROW()-1)&gt;0,VLOOKUP(ROW()-1,Дела!$A:$M,13,0),"")</f>
        <v/>
      </c>
      <c r="G319" s="13" t="str">
        <f>IF(COUNTIF(Дела!$A:$A,ROW()-1)&gt;0,VLOOKUP(ROW()-1,Дела!$A:$N,14,0),"")</f>
        <v/>
      </c>
      <c r="H319" s="11" t="str">
        <f>IF(COUNTIF(Дела!$A:$A,ROW()-1)&gt;0,VLOOKUP(ROW()-1,Дела!$A:$K,11,0),"")</f>
        <v/>
      </c>
    </row>
    <row r="320" spans="1:8" x14ac:dyDescent="0.25">
      <c r="A320" s="11" t="str">
        <f>IF(COUNTIF(Дела!$A:$A,ROW()-1)&gt;0,VLOOKUP(ROW()-1,Дела!$A:$C,3,0),"")</f>
        <v/>
      </c>
      <c r="B320" s="11" t="str">
        <f>IF(COUNTIF(Дела!$A:$A,ROW()-1)&gt;0,VLOOKUP(ROW()-1,Дела!$A:$F,6,0),"")</f>
        <v/>
      </c>
      <c r="C320" s="11" t="str">
        <f>IF(COUNTIF(Дела!$A:$A,ROW()-1)&gt;0,VLOOKUP(ROW()-1,Дела!$A:$G,7,0),"")</f>
        <v/>
      </c>
      <c r="D320" s="11" t="str">
        <f>IF(COUNTIF(Дела!$A:$A,ROW()-1)&gt;0,VLOOKUP(ROW()-1,Дела!$A:$I,9,0),"")</f>
        <v/>
      </c>
      <c r="E320" s="11" t="str">
        <f t="shared" si="4"/>
        <v/>
      </c>
      <c r="F320" s="12" t="str">
        <f>IF(COUNTIF(Дела!$A:$A,ROW()-1)&gt;0,VLOOKUP(ROW()-1,Дела!$A:$M,13,0),"")</f>
        <v/>
      </c>
      <c r="G320" s="13" t="str">
        <f>IF(COUNTIF(Дела!$A:$A,ROW()-1)&gt;0,VLOOKUP(ROW()-1,Дела!$A:$N,14,0),"")</f>
        <v/>
      </c>
      <c r="H320" s="11" t="str">
        <f>IF(COUNTIF(Дела!$A:$A,ROW()-1)&gt;0,VLOOKUP(ROW()-1,Дела!$A:$K,11,0),"")</f>
        <v/>
      </c>
    </row>
    <row r="321" spans="1:8" x14ac:dyDescent="0.25">
      <c r="A321" s="11" t="str">
        <f>IF(COUNTIF(Дела!$A:$A,ROW()-1)&gt;0,VLOOKUP(ROW()-1,Дела!$A:$C,3,0),"")</f>
        <v/>
      </c>
      <c r="B321" s="11" t="str">
        <f>IF(COUNTIF(Дела!$A:$A,ROW()-1)&gt;0,VLOOKUP(ROW()-1,Дела!$A:$F,6,0),"")</f>
        <v/>
      </c>
      <c r="C321" s="11" t="str">
        <f>IF(COUNTIF(Дела!$A:$A,ROW()-1)&gt;0,VLOOKUP(ROW()-1,Дела!$A:$G,7,0),"")</f>
        <v/>
      </c>
      <c r="D321" s="11" t="str">
        <f>IF(COUNTIF(Дела!$A:$A,ROW()-1)&gt;0,VLOOKUP(ROW()-1,Дела!$A:$I,9,0),"")</f>
        <v/>
      </c>
      <c r="E321" s="11" t="str">
        <f t="shared" si="4"/>
        <v/>
      </c>
      <c r="F321" s="12" t="str">
        <f>IF(COUNTIF(Дела!$A:$A,ROW()-1)&gt;0,VLOOKUP(ROW()-1,Дела!$A:$M,13,0),"")</f>
        <v/>
      </c>
      <c r="G321" s="13" t="str">
        <f>IF(COUNTIF(Дела!$A:$A,ROW()-1)&gt;0,VLOOKUP(ROW()-1,Дела!$A:$N,14,0),"")</f>
        <v/>
      </c>
      <c r="H321" s="11" t="str">
        <f>IF(COUNTIF(Дела!$A:$A,ROW()-1)&gt;0,VLOOKUP(ROW()-1,Дела!$A:$K,11,0),"")</f>
        <v/>
      </c>
    </row>
    <row r="322" spans="1:8" x14ac:dyDescent="0.25">
      <c r="A322" s="11" t="str">
        <f>IF(COUNTIF(Дела!$A:$A,ROW()-1)&gt;0,VLOOKUP(ROW()-1,Дела!$A:$C,3,0),"")</f>
        <v/>
      </c>
      <c r="B322" s="11" t="str">
        <f>IF(COUNTIF(Дела!$A:$A,ROW()-1)&gt;0,VLOOKUP(ROW()-1,Дела!$A:$F,6,0),"")</f>
        <v/>
      </c>
      <c r="C322" s="11" t="str">
        <f>IF(COUNTIF(Дела!$A:$A,ROW()-1)&gt;0,VLOOKUP(ROW()-1,Дела!$A:$G,7,0),"")</f>
        <v/>
      </c>
      <c r="D322" s="11" t="str">
        <f>IF(COUNTIF(Дела!$A:$A,ROW()-1)&gt;0,VLOOKUP(ROW()-1,Дела!$A:$I,9,0),"")</f>
        <v/>
      </c>
      <c r="E322" s="11" t="str">
        <f t="shared" si="4"/>
        <v/>
      </c>
      <c r="F322" s="12" t="str">
        <f>IF(COUNTIF(Дела!$A:$A,ROW()-1)&gt;0,VLOOKUP(ROW()-1,Дела!$A:$M,13,0),"")</f>
        <v/>
      </c>
      <c r="G322" s="13" t="str">
        <f>IF(COUNTIF(Дела!$A:$A,ROW()-1)&gt;0,VLOOKUP(ROW()-1,Дела!$A:$N,14,0),"")</f>
        <v/>
      </c>
      <c r="H322" s="11" t="str">
        <f>IF(COUNTIF(Дела!$A:$A,ROW()-1)&gt;0,VLOOKUP(ROW()-1,Дела!$A:$K,11,0),"")</f>
        <v/>
      </c>
    </row>
    <row r="323" spans="1:8" x14ac:dyDescent="0.25">
      <c r="A323" s="11" t="str">
        <f>IF(COUNTIF(Дела!$A:$A,ROW()-1)&gt;0,VLOOKUP(ROW()-1,Дела!$A:$C,3,0),"")</f>
        <v/>
      </c>
      <c r="B323" s="11" t="str">
        <f>IF(COUNTIF(Дела!$A:$A,ROW()-1)&gt;0,VLOOKUP(ROW()-1,Дела!$A:$F,6,0),"")</f>
        <v/>
      </c>
      <c r="C323" s="11" t="str">
        <f>IF(COUNTIF(Дела!$A:$A,ROW()-1)&gt;0,VLOOKUP(ROW()-1,Дела!$A:$G,7,0),"")</f>
        <v/>
      </c>
      <c r="D323" s="11" t="str">
        <f>IF(COUNTIF(Дела!$A:$A,ROW()-1)&gt;0,VLOOKUP(ROW()-1,Дела!$A:$I,9,0),"")</f>
        <v/>
      </c>
      <c r="E323" s="11" t="str">
        <f t="shared" ref="E323:E386" si="5">IF(H323="","",MID(H323,SEARCH(" ",H323)+1,1000))</f>
        <v/>
      </c>
      <c r="F323" s="12" t="str">
        <f>IF(COUNTIF(Дела!$A:$A,ROW()-1)&gt;0,VLOOKUP(ROW()-1,Дела!$A:$M,13,0),"")</f>
        <v/>
      </c>
      <c r="G323" s="13" t="str">
        <f>IF(COUNTIF(Дела!$A:$A,ROW()-1)&gt;0,VLOOKUP(ROW()-1,Дела!$A:$N,14,0),"")</f>
        <v/>
      </c>
      <c r="H323" s="11" t="str">
        <f>IF(COUNTIF(Дела!$A:$A,ROW()-1)&gt;0,VLOOKUP(ROW()-1,Дела!$A:$K,11,0),"")</f>
        <v/>
      </c>
    </row>
    <row r="324" spans="1:8" x14ac:dyDescent="0.25">
      <c r="A324" s="11" t="str">
        <f>IF(COUNTIF(Дела!$A:$A,ROW()-1)&gt;0,VLOOKUP(ROW()-1,Дела!$A:$C,3,0),"")</f>
        <v/>
      </c>
      <c r="B324" s="11" t="str">
        <f>IF(COUNTIF(Дела!$A:$A,ROW()-1)&gt;0,VLOOKUP(ROW()-1,Дела!$A:$F,6,0),"")</f>
        <v/>
      </c>
      <c r="C324" s="11" t="str">
        <f>IF(COUNTIF(Дела!$A:$A,ROW()-1)&gt;0,VLOOKUP(ROW()-1,Дела!$A:$G,7,0),"")</f>
        <v/>
      </c>
      <c r="D324" s="11" t="str">
        <f>IF(COUNTIF(Дела!$A:$A,ROW()-1)&gt;0,VLOOKUP(ROW()-1,Дела!$A:$I,9,0),"")</f>
        <v/>
      </c>
      <c r="E324" s="11" t="str">
        <f t="shared" si="5"/>
        <v/>
      </c>
      <c r="F324" s="12" t="str">
        <f>IF(COUNTIF(Дела!$A:$A,ROW()-1)&gt;0,VLOOKUP(ROW()-1,Дела!$A:$M,13,0),"")</f>
        <v/>
      </c>
      <c r="G324" s="13" t="str">
        <f>IF(COUNTIF(Дела!$A:$A,ROW()-1)&gt;0,VLOOKUP(ROW()-1,Дела!$A:$N,14,0),"")</f>
        <v/>
      </c>
      <c r="H324" s="11" t="str">
        <f>IF(COUNTIF(Дела!$A:$A,ROW()-1)&gt;0,VLOOKUP(ROW()-1,Дела!$A:$K,11,0),"")</f>
        <v/>
      </c>
    </row>
    <row r="325" spans="1:8" x14ac:dyDescent="0.25">
      <c r="A325" s="11" t="str">
        <f>IF(COUNTIF(Дела!$A:$A,ROW()-1)&gt;0,VLOOKUP(ROW()-1,Дела!$A:$C,3,0),"")</f>
        <v/>
      </c>
      <c r="B325" s="11" t="str">
        <f>IF(COUNTIF(Дела!$A:$A,ROW()-1)&gt;0,VLOOKUP(ROW()-1,Дела!$A:$F,6,0),"")</f>
        <v/>
      </c>
      <c r="C325" s="11" t="str">
        <f>IF(COUNTIF(Дела!$A:$A,ROW()-1)&gt;0,VLOOKUP(ROW()-1,Дела!$A:$G,7,0),"")</f>
        <v/>
      </c>
      <c r="D325" s="11" t="str">
        <f>IF(COUNTIF(Дела!$A:$A,ROW()-1)&gt;0,VLOOKUP(ROW()-1,Дела!$A:$I,9,0),"")</f>
        <v/>
      </c>
      <c r="E325" s="11" t="str">
        <f t="shared" si="5"/>
        <v/>
      </c>
      <c r="F325" s="12" t="str">
        <f>IF(COUNTIF(Дела!$A:$A,ROW()-1)&gt;0,VLOOKUP(ROW()-1,Дела!$A:$M,13,0),"")</f>
        <v/>
      </c>
      <c r="G325" s="13" t="str">
        <f>IF(COUNTIF(Дела!$A:$A,ROW()-1)&gt;0,VLOOKUP(ROW()-1,Дела!$A:$N,14,0),"")</f>
        <v/>
      </c>
      <c r="H325" s="11" t="str">
        <f>IF(COUNTIF(Дела!$A:$A,ROW()-1)&gt;0,VLOOKUP(ROW()-1,Дела!$A:$K,11,0),"")</f>
        <v/>
      </c>
    </row>
    <row r="326" spans="1:8" x14ac:dyDescent="0.25">
      <c r="A326" s="11" t="str">
        <f>IF(COUNTIF(Дела!$A:$A,ROW()-1)&gt;0,VLOOKUP(ROW()-1,Дела!$A:$C,3,0),"")</f>
        <v/>
      </c>
      <c r="B326" s="11" t="str">
        <f>IF(COUNTIF(Дела!$A:$A,ROW()-1)&gt;0,VLOOKUP(ROW()-1,Дела!$A:$F,6,0),"")</f>
        <v/>
      </c>
      <c r="C326" s="11" t="str">
        <f>IF(COUNTIF(Дела!$A:$A,ROW()-1)&gt;0,VLOOKUP(ROW()-1,Дела!$A:$G,7,0),"")</f>
        <v/>
      </c>
      <c r="D326" s="11" t="str">
        <f>IF(COUNTIF(Дела!$A:$A,ROW()-1)&gt;0,VLOOKUP(ROW()-1,Дела!$A:$I,9,0),"")</f>
        <v/>
      </c>
      <c r="E326" s="11" t="str">
        <f t="shared" si="5"/>
        <v/>
      </c>
      <c r="F326" s="12" t="str">
        <f>IF(COUNTIF(Дела!$A:$A,ROW()-1)&gt;0,VLOOKUP(ROW()-1,Дела!$A:$M,13,0),"")</f>
        <v/>
      </c>
      <c r="G326" s="13" t="str">
        <f>IF(COUNTIF(Дела!$A:$A,ROW()-1)&gt;0,VLOOKUP(ROW()-1,Дела!$A:$N,14,0),"")</f>
        <v/>
      </c>
      <c r="H326" s="11" t="str">
        <f>IF(COUNTIF(Дела!$A:$A,ROW()-1)&gt;0,VLOOKUP(ROW()-1,Дела!$A:$K,11,0),"")</f>
        <v/>
      </c>
    </row>
    <row r="327" spans="1:8" x14ac:dyDescent="0.25">
      <c r="A327" s="11" t="str">
        <f>IF(COUNTIF(Дела!$A:$A,ROW()-1)&gt;0,VLOOKUP(ROW()-1,Дела!$A:$C,3,0),"")</f>
        <v/>
      </c>
      <c r="B327" s="11" t="str">
        <f>IF(COUNTIF(Дела!$A:$A,ROW()-1)&gt;0,VLOOKUP(ROW()-1,Дела!$A:$F,6,0),"")</f>
        <v/>
      </c>
      <c r="C327" s="11" t="str">
        <f>IF(COUNTIF(Дела!$A:$A,ROW()-1)&gt;0,VLOOKUP(ROW()-1,Дела!$A:$G,7,0),"")</f>
        <v/>
      </c>
      <c r="D327" s="11" t="str">
        <f>IF(COUNTIF(Дела!$A:$A,ROW()-1)&gt;0,VLOOKUP(ROW()-1,Дела!$A:$I,9,0),"")</f>
        <v/>
      </c>
      <c r="E327" s="11" t="str">
        <f t="shared" si="5"/>
        <v/>
      </c>
      <c r="F327" s="12" t="str">
        <f>IF(COUNTIF(Дела!$A:$A,ROW()-1)&gt;0,VLOOKUP(ROW()-1,Дела!$A:$M,13,0),"")</f>
        <v/>
      </c>
      <c r="G327" s="13" t="str">
        <f>IF(COUNTIF(Дела!$A:$A,ROW()-1)&gt;0,VLOOKUP(ROW()-1,Дела!$A:$N,14,0),"")</f>
        <v/>
      </c>
      <c r="H327" s="11" t="str">
        <f>IF(COUNTIF(Дела!$A:$A,ROW()-1)&gt;0,VLOOKUP(ROW()-1,Дела!$A:$K,11,0),"")</f>
        <v/>
      </c>
    </row>
    <row r="328" spans="1:8" x14ac:dyDescent="0.25">
      <c r="A328" s="11" t="str">
        <f>IF(COUNTIF(Дела!$A:$A,ROW()-1)&gt;0,VLOOKUP(ROW()-1,Дела!$A:$C,3,0),"")</f>
        <v/>
      </c>
      <c r="B328" s="11" t="str">
        <f>IF(COUNTIF(Дела!$A:$A,ROW()-1)&gt;0,VLOOKUP(ROW()-1,Дела!$A:$F,6,0),"")</f>
        <v/>
      </c>
      <c r="C328" s="11" t="str">
        <f>IF(COUNTIF(Дела!$A:$A,ROW()-1)&gt;0,VLOOKUP(ROW()-1,Дела!$A:$G,7,0),"")</f>
        <v/>
      </c>
      <c r="D328" s="11" t="str">
        <f>IF(COUNTIF(Дела!$A:$A,ROW()-1)&gt;0,VLOOKUP(ROW()-1,Дела!$A:$I,9,0),"")</f>
        <v/>
      </c>
      <c r="E328" s="11" t="str">
        <f t="shared" si="5"/>
        <v/>
      </c>
      <c r="F328" s="12" t="str">
        <f>IF(COUNTIF(Дела!$A:$A,ROW()-1)&gt;0,VLOOKUP(ROW()-1,Дела!$A:$M,13,0),"")</f>
        <v/>
      </c>
      <c r="G328" s="13" t="str">
        <f>IF(COUNTIF(Дела!$A:$A,ROW()-1)&gt;0,VLOOKUP(ROW()-1,Дела!$A:$N,14,0),"")</f>
        <v/>
      </c>
      <c r="H328" s="11" t="str">
        <f>IF(COUNTIF(Дела!$A:$A,ROW()-1)&gt;0,VLOOKUP(ROW()-1,Дела!$A:$K,11,0),"")</f>
        <v/>
      </c>
    </row>
    <row r="329" spans="1:8" x14ac:dyDescent="0.25">
      <c r="A329" s="11" t="str">
        <f>IF(COUNTIF(Дела!$A:$A,ROW()-1)&gt;0,VLOOKUP(ROW()-1,Дела!$A:$C,3,0),"")</f>
        <v/>
      </c>
      <c r="B329" s="11" t="str">
        <f>IF(COUNTIF(Дела!$A:$A,ROW()-1)&gt;0,VLOOKUP(ROW()-1,Дела!$A:$F,6,0),"")</f>
        <v/>
      </c>
      <c r="C329" s="11" t="str">
        <f>IF(COUNTIF(Дела!$A:$A,ROW()-1)&gt;0,VLOOKUP(ROW()-1,Дела!$A:$G,7,0),"")</f>
        <v/>
      </c>
      <c r="D329" s="11" t="str">
        <f>IF(COUNTIF(Дела!$A:$A,ROW()-1)&gt;0,VLOOKUP(ROW()-1,Дела!$A:$I,9,0),"")</f>
        <v/>
      </c>
      <c r="E329" s="11" t="str">
        <f t="shared" si="5"/>
        <v/>
      </c>
      <c r="F329" s="12" t="str">
        <f>IF(COUNTIF(Дела!$A:$A,ROW()-1)&gt;0,VLOOKUP(ROW()-1,Дела!$A:$M,13,0),"")</f>
        <v/>
      </c>
      <c r="G329" s="13" t="str">
        <f>IF(COUNTIF(Дела!$A:$A,ROW()-1)&gt;0,VLOOKUP(ROW()-1,Дела!$A:$N,14,0),"")</f>
        <v/>
      </c>
      <c r="H329" s="11" t="str">
        <f>IF(COUNTIF(Дела!$A:$A,ROW()-1)&gt;0,VLOOKUP(ROW()-1,Дела!$A:$K,11,0),"")</f>
        <v/>
      </c>
    </row>
    <row r="330" spans="1:8" x14ac:dyDescent="0.25">
      <c r="A330" s="11" t="str">
        <f>IF(COUNTIF(Дела!$A:$A,ROW()-1)&gt;0,VLOOKUP(ROW()-1,Дела!$A:$C,3,0),"")</f>
        <v/>
      </c>
      <c r="B330" s="11" t="str">
        <f>IF(COUNTIF(Дела!$A:$A,ROW()-1)&gt;0,VLOOKUP(ROW()-1,Дела!$A:$F,6,0),"")</f>
        <v/>
      </c>
      <c r="C330" s="11" t="str">
        <f>IF(COUNTIF(Дела!$A:$A,ROW()-1)&gt;0,VLOOKUP(ROW()-1,Дела!$A:$G,7,0),"")</f>
        <v/>
      </c>
      <c r="D330" s="11" t="str">
        <f>IF(COUNTIF(Дела!$A:$A,ROW()-1)&gt;0,VLOOKUP(ROW()-1,Дела!$A:$I,9,0),"")</f>
        <v/>
      </c>
      <c r="E330" s="11" t="str">
        <f t="shared" si="5"/>
        <v/>
      </c>
      <c r="F330" s="12" t="str">
        <f>IF(COUNTIF(Дела!$A:$A,ROW()-1)&gt;0,VLOOKUP(ROW()-1,Дела!$A:$M,13,0),"")</f>
        <v/>
      </c>
      <c r="G330" s="13" t="str">
        <f>IF(COUNTIF(Дела!$A:$A,ROW()-1)&gt;0,VLOOKUP(ROW()-1,Дела!$A:$N,14,0),"")</f>
        <v/>
      </c>
      <c r="H330" s="11" t="str">
        <f>IF(COUNTIF(Дела!$A:$A,ROW()-1)&gt;0,VLOOKUP(ROW()-1,Дела!$A:$K,11,0),"")</f>
        <v/>
      </c>
    </row>
    <row r="331" spans="1:8" x14ac:dyDescent="0.25">
      <c r="A331" s="11" t="str">
        <f>IF(COUNTIF(Дела!$A:$A,ROW()-1)&gt;0,VLOOKUP(ROW()-1,Дела!$A:$C,3,0),"")</f>
        <v/>
      </c>
      <c r="B331" s="11" t="str">
        <f>IF(COUNTIF(Дела!$A:$A,ROW()-1)&gt;0,VLOOKUP(ROW()-1,Дела!$A:$F,6,0),"")</f>
        <v/>
      </c>
      <c r="C331" s="11" t="str">
        <f>IF(COUNTIF(Дела!$A:$A,ROW()-1)&gt;0,VLOOKUP(ROW()-1,Дела!$A:$G,7,0),"")</f>
        <v/>
      </c>
      <c r="D331" s="11" t="str">
        <f>IF(COUNTIF(Дела!$A:$A,ROW()-1)&gt;0,VLOOKUP(ROW()-1,Дела!$A:$I,9,0),"")</f>
        <v/>
      </c>
      <c r="E331" s="11" t="str">
        <f t="shared" si="5"/>
        <v/>
      </c>
      <c r="F331" s="12" t="str">
        <f>IF(COUNTIF(Дела!$A:$A,ROW()-1)&gt;0,VLOOKUP(ROW()-1,Дела!$A:$M,13,0),"")</f>
        <v/>
      </c>
      <c r="G331" s="13" t="str">
        <f>IF(COUNTIF(Дела!$A:$A,ROW()-1)&gt;0,VLOOKUP(ROW()-1,Дела!$A:$N,14,0),"")</f>
        <v/>
      </c>
      <c r="H331" s="11" t="str">
        <f>IF(COUNTIF(Дела!$A:$A,ROW()-1)&gt;0,VLOOKUP(ROW()-1,Дела!$A:$K,11,0),"")</f>
        <v/>
      </c>
    </row>
    <row r="332" spans="1:8" x14ac:dyDescent="0.25">
      <c r="A332" s="11" t="str">
        <f>IF(COUNTIF(Дела!$A:$A,ROW()-1)&gt;0,VLOOKUP(ROW()-1,Дела!$A:$C,3,0),"")</f>
        <v/>
      </c>
      <c r="B332" s="11" t="str">
        <f>IF(COUNTIF(Дела!$A:$A,ROW()-1)&gt;0,VLOOKUP(ROW()-1,Дела!$A:$F,6,0),"")</f>
        <v/>
      </c>
      <c r="C332" s="11" t="str">
        <f>IF(COUNTIF(Дела!$A:$A,ROW()-1)&gt;0,VLOOKUP(ROW()-1,Дела!$A:$G,7,0),"")</f>
        <v/>
      </c>
      <c r="D332" s="11" t="str">
        <f>IF(COUNTIF(Дела!$A:$A,ROW()-1)&gt;0,VLOOKUP(ROW()-1,Дела!$A:$I,9,0),"")</f>
        <v/>
      </c>
      <c r="E332" s="11" t="str">
        <f t="shared" si="5"/>
        <v/>
      </c>
      <c r="F332" s="12" t="str">
        <f>IF(COUNTIF(Дела!$A:$A,ROW()-1)&gt;0,VLOOKUP(ROW()-1,Дела!$A:$M,13,0),"")</f>
        <v/>
      </c>
      <c r="G332" s="13" t="str">
        <f>IF(COUNTIF(Дела!$A:$A,ROW()-1)&gt;0,VLOOKUP(ROW()-1,Дела!$A:$N,14,0),"")</f>
        <v/>
      </c>
      <c r="H332" s="11" t="str">
        <f>IF(COUNTIF(Дела!$A:$A,ROW()-1)&gt;0,VLOOKUP(ROW()-1,Дела!$A:$K,11,0),"")</f>
        <v/>
      </c>
    </row>
    <row r="333" spans="1:8" x14ac:dyDescent="0.25">
      <c r="A333" s="11" t="str">
        <f>IF(COUNTIF(Дела!$A:$A,ROW()-1)&gt;0,VLOOKUP(ROW()-1,Дела!$A:$C,3,0),"")</f>
        <v/>
      </c>
      <c r="B333" s="11" t="str">
        <f>IF(COUNTIF(Дела!$A:$A,ROW()-1)&gt;0,VLOOKUP(ROW()-1,Дела!$A:$F,6,0),"")</f>
        <v/>
      </c>
      <c r="C333" s="11" t="str">
        <f>IF(COUNTIF(Дела!$A:$A,ROW()-1)&gt;0,VLOOKUP(ROW()-1,Дела!$A:$G,7,0),"")</f>
        <v/>
      </c>
      <c r="D333" s="11" t="str">
        <f>IF(COUNTIF(Дела!$A:$A,ROW()-1)&gt;0,VLOOKUP(ROW()-1,Дела!$A:$I,9,0),"")</f>
        <v/>
      </c>
      <c r="E333" s="11" t="str">
        <f t="shared" si="5"/>
        <v/>
      </c>
      <c r="F333" s="12" t="str">
        <f>IF(COUNTIF(Дела!$A:$A,ROW()-1)&gt;0,VLOOKUP(ROW()-1,Дела!$A:$M,13,0),"")</f>
        <v/>
      </c>
      <c r="G333" s="13" t="str">
        <f>IF(COUNTIF(Дела!$A:$A,ROW()-1)&gt;0,VLOOKUP(ROW()-1,Дела!$A:$N,14,0),"")</f>
        <v/>
      </c>
      <c r="H333" s="11" t="str">
        <f>IF(COUNTIF(Дела!$A:$A,ROW()-1)&gt;0,VLOOKUP(ROW()-1,Дела!$A:$K,11,0),"")</f>
        <v/>
      </c>
    </row>
    <row r="334" spans="1:8" x14ac:dyDescent="0.25">
      <c r="A334" s="11" t="str">
        <f>IF(COUNTIF(Дела!$A:$A,ROW()-1)&gt;0,VLOOKUP(ROW()-1,Дела!$A:$C,3,0),"")</f>
        <v/>
      </c>
      <c r="B334" s="11" t="str">
        <f>IF(COUNTIF(Дела!$A:$A,ROW()-1)&gt;0,VLOOKUP(ROW()-1,Дела!$A:$F,6,0),"")</f>
        <v/>
      </c>
      <c r="C334" s="11" t="str">
        <f>IF(COUNTIF(Дела!$A:$A,ROW()-1)&gt;0,VLOOKUP(ROW()-1,Дела!$A:$G,7,0),"")</f>
        <v/>
      </c>
      <c r="D334" s="11" t="str">
        <f>IF(COUNTIF(Дела!$A:$A,ROW()-1)&gt;0,VLOOKUP(ROW()-1,Дела!$A:$I,9,0),"")</f>
        <v/>
      </c>
      <c r="E334" s="11" t="str">
        <f t="shared" si="5"/>
        <v/>
      </c>
      <c r="F334" s="12" t="str">
        <f>IF(COUNTIF(Дела!$A:$A,ROW()-1)&gt;0,VLOOKUP(ROW()-1,Дела!$A:$M,13,0),"")</f>
        <v/>
      </c>
      <c r="G334" s="13" t="str">
        <f>IF(COUNTIF(Дела!$A:$A,ROW()-1)&gt;0,VLOOKUP(ROW()-1,Дела!$A:$N,14,0),"")</f>
        <v/>
      </c>
      <c r="H334" s="11" t="str">
        <f>IF(COUNTIF(Дела!$A:$A,ROW()-1)&gt;0,VLOOKUP(ROW()-1,Дела!$A:$K,11,0),"")</f>
        <v/>
      </c>
    </row>
    <row r="335" spans="1:8" x14ac:dyDescent="0.25">
      <c r="A335" s="11" t="str">
        <f>IF(COUNTIF(Дела!$A:$A,ROW()-1)&gt;0,VLOOKUP(ROW()-1,Дела!$A:$C,3,0),"")</f>
        <v/>
      </c>
      <c r="B335" s="11" t="str">
        <f>IF(COUNTIF(Дела!$A:$A,ROW()-1)&gt;0,VLOOKUP(ROW()-1,Дела!$A:$F,6,0),"")</f>
        <v/>
      </c>
      <c r="C335" s="11" t="str">
        <f>IF(COUNTIF(Дела!$A:$A,ROW()-1)&gt;0,VLOOKUP(ROW()-1,Дела!$A:$G,7,0),"")</f>
        <v/>
      </c>
      <c r="D335" s="11" t="str">
        <f>IF(COUNTIF(Дела!$A:$A,ROW()-1)&gt;0,VLOOKUP(ROW()-1,Дела!$A:$I,9,0),"")</f>
        <v/>
      </c>
      <c r="E335" s="11" t="str">
        <f t="shared" si="5"/>
        <v/>
      </c>
      <c r="F335" s="12" t="str">
        <f>IF(COUNTIF(Дела!$A:$A,ROW()-1)&gt;0,VLOOKUP(ROW()-1,Дела!$A:$M,13,0),"")</f>
        <v/>
      </c>
      <c r="G335" s="13" t="str">
        <f>IF(COUNTIF(Дела!$A:$A,ROW()-1)&gt;0,VLOOKUP(ROW()-1,Дела!$A:$N,14,0),"")</f>
        <v/>
      </c>
      <c r="H335" s="11" t="str">
        <f>IF(COUNTIF(Дела!$A:$A,ROW()-1)&gt;0,VLOOKUP(ROW()-1,Дела!$A:$K,11,0),"")</f>
        <v/>
      </c>
    </row>
    <row r="336" spans="1:8" x14ac:dyDescent="0.25">
      <c r="A336" s="11" t="str">
        <f>IF(COUNTIF(Дела!$A:$A,ROW()-1)&gt;0,VLOOKUP(ROW()-1,Дела!$A:$C,3,0),"")</f>
        <v/>
      </c>
      <c r="B336" s="11" t="str">
        <f>IF(COUNTIF(Дела!$A:$A,ROW()-1)&gt;0,VLOOKUP(ROW()-1,Дела!$A:$F,6,0),"")</f>
        <v/>
      </c>
      <c r="C336" s="11" t="str">
        <f>IF(COUNTIF(Дела!$A:$A,ROW()-1)&gt;0,VLOOKUP(ROW()-1,Дела!$A:$G,7,0),"")</f>
        <v/>
      </c>
      <c r="D336" s="11" t="str">
        <f>IF(COUNTIF(Дела!$A:$A,ROW()-1)&gt;0,VLOOKUP(ROW()-1,Дела!$A:$I,9,0),"")</f>
        <v/>
      </c>
      <c r="E336" s="11" t="str">
        <f t="shared" si="5"/>
        <v/>
      </c>
      <c r="F336" s="12" t="str">
        <f>IF(COUNTIF(Дела!$A:$A,ROW()-1)&gt;0,VLOOKUP(ROW()-1,Дела!$A:$M,13,0),"")</f>
        <v/>
      </c>
      <c r="G336" s="13" t="str">
        <f>IF(COUNTIF(Дела!$A:$A,ROW()-1)&gt;0,VLOOKUP(ROW()-1,Дела!$A:$N,14,0),"")</f>
        <v/>
      </c>
      <c r="H336" s="11" t="str">
        <f>IF(COUNTIF(Дела!$A:$A,ROW()-1)&gt;0,VLOOKUP(ROW()-1,Дела!$A:$K,11,0),"")</f>
        <v/>
      </c>
    </row>
    <row r="337" spans="1:8" x14ac:dyDescent="0.25">
      <c r="A337" s="11" t="str">
        <f>IF(COUNTIF(Дела!$A:$A,ROW()-1)&gt;0,VLOOKUP(ROW()-1,Дела!$A:$C,3,0),"")</f>
        <v/>
      </c>
      <c r="B337" s="11" t="str">
        <f>IF(COUNTIF(Дела!$A:$A,ROW()-1)&gt;0,VLOOKUP(ROW()-1,Дела!$A:$F,6,0),"")</f>
        <v/>
      </c>
      <c r="C337" s="11" t="str">
        <f>IF(COUNTIF(Дела!$A:$A,ROW()-1)&gt;0,VLOOKUP(ROW()-1,Дела!$A:$G,7,0),"")</f>
        <v/>
      </c>
      <c r="D337" s="11" t="str">
        <f>IF(COUNTIF(Дела!$A:$A,ROW()-1)&gt;0,VLOOKUP(ROW()-1,Дела!$A:$I,9,0),"")</f>
        <v/>
      </c>
      <c r="E337" s="11" t="str">
        <f t="shared" si="5"/>
        <v/>
      </c>
      <c r="F337" s="12" t="str">
        <f>IF(COUNTIF(Дела!$A:$A,ROW()-1)&gt;0,VLOOKUP(ROW()-1,Дела!$A:$M,13,0),"")</f>
        <v/>
      </c>
      <c r="G337" s="13" t="str">
        <f>IF(COUNTIF(Дела!$A:$A,ROW()-1)&gt;0,VLOOKUP(ROW()-1,Дела!$A:$N,14,0),"")</f>
        <v/>
      </c>
      <c r="H337" s="11" t="str">
        <f>IF(COUNTIF(Дела!$A:$A,ROW()-1)&gt;0,VLOOKUP(ROW()-1,Дела!$A:$K,11,0),"")</f>
        <v/>
      </c>
    </row>
    <row r="338" spans="1:8" x14ac:dyDescent="0.25">
      <c r="A338" s="11" t="str">
        <f>IF(COUNTIF(Дела!$A:$A,ROW()-1)&gt;0,VLOOKUP(ROW()-1,Дела!$A:$C,3,0),"")</f>
        <v/>
      </c>
      <c r="B338" s="11" t="str">
        <f>IF(COUNTIF(Дела!$A:$A,ROW()-1)&gt;0,VLOOKUP(ROW()-1,Дела!$A:$F,6,0),"")</f>
        <v/>
      </c>
      <c r="C338" s="11" t="str">
        <f>IF(COUNTIF(Дела!$A:$A,ROW()-1)&gt;0,VLOOKUP(ROW()-1,Дела!$A:$G,7,0),"")</f>
        <v/>
      </c>
      <c r="D338" s="11" t="str">
        <f>IF(COUNTIF(Дела!$A:$A,ROW()-1)&gt;0,VLOOKUP(ROW()-1,Дела!$A:$I,9,0),"")</f>
        <v/>
      </c>
      <c r="E338" s="11" t="str">
        <f t="shared" si="5"/>
        <v/>
      </c>
      <c r="F338" s="12" t="str">
        <f>IF(COUNTIF(Дела!$A:$A,ROW()-1)&gt;0,VLOOKUP(ROW()-1,Дела!$A:$M,13,0),"")</f>
        <v/>
      </c>
      <c r="G338" s="13" t="str">
        <f>IF(COUNTIF(Дела!$A:$A,ROW()-1)&gt;0,VLOOKUP(ROW()-1,Дела!$A:$N,14,0),"")</f>
        <v/>
      </c>
      <c r="H338" s="11" t="str">
        <f>IF(COUNTIF(Дела!$A:$A,ROW()-1)&gt;0,VLOOKUP(ROW()-1,Дела!$A:$K,11,0),"")</f>
        <v/>
      </c>
    </row>
    <row r="339" spans="1:8" x14ac:dyDescent="0.25">
      <c r="A339" s="11" t="str">
        <f>IF(COUNTIF(Дела!$A:$A,ROW()-1)&gt;0,VLOOKUP(ROW()-1,Дела!$A:$C,3,0),"")</f>
        <v/>
      </c>
      <c r="B339" s="11" t="str">
        <f>IF(COUNTIF(Дела!$A:$A,ROW()-1)&gt;0,VLOOKUP(ROW()-1,Дела!$A:$F,6,0),"")</f>
        <v/>
      </c>
      <c r="C339" s="11" t="str">
        <f>IF(COUNTIF(Дела!$A:$A,ROW()-1)&gt;0,VLOOKUP(ROW()-1,Дела!$A:$G,7,0),"")</f>
        <v/>
      </c>
      <c r="D339" s="11" t="str">
        <f>IF(COUNTIF(Дела!$A:$A,ROW()-1)&gt;0,VLOOKUP(ROW()-1,Дела!$A:$I,9,0),"")</f>
        <v/>
      </c>
      <c r="E339" s="11" t="str">
        <f t="shared" si="5"/>
        <v/>
      </c>
      <c r="F339" s="12" t="str">
        <f>IF(COUNTIF(Дела!$A:$A,ROW()-1)&gt;0,VLOOKUP(ROW()-1,Дела!$A:$M,13,0),"")</f>
        <v/>
      </c>
      <c r="G339" s="13" t="str">
        <f>IF(COUNTIF(Дела!$A:$A,ROW()-1)&gt;0,VLOOKUP(ROW()-1,Дела!$A:$N,14,0),"")</f>
        <v/>
      </c>
      <c r="H339" s="11" t="str">
        <f>IF(COUNTIF(Дела!$A:$A,ROW()-1)&gt;0,VLOOKUP(ROW()-1,Дела!$A:$K,11,0),"")</f>
        <v/>
      </c>
    </row>
    <row r="340" spans="1:8" x14ac:dyDescent="0.25">
      <c r="A340" s="11" t="str">
        <f>IF(COUNTIF(Дела!$A:$A,ROW()-1)&gt;0,VLOOKUP(ROW()-1,Дела!$A:$C,3,0),"")</f>
        <v/>
      </c>
      <c r="B340" s="11" t="str">
        <f>IF(COUNTIF(Дела!$A:$A,ROW()-1)&gt;0,VLOOKUP(ROW()-1,Дела!$A:$F,6,0),"")</f>
        <v/>
      </c>
      <c r="C340" s="11" t="str">
        <f>IF(COUNTIF(Дела!$A:$A,ROW()-1)&gt;0,VLOOKUP(ROW()-1,Дела!$A:$G,7,0),"")</f>
        <v/>
      </c>
      <c r="D340" s="11" t="str">
        <f>IF(COUNTIF(Дела!$A:$A,ROW()-1)&gt;0,VLOOKUP(ROW()-1,Дела!$A:$I,9,0),"")</f>
        <v/>
      </c>
      <c r="E340" s="11" t="str">
        <f t="shared" si="5"/>
        <v/>
      </c>
      <c r="F340" s="12" t="str">
        <f>IF(COUNTIF(Дела!$A:$A,ROW()-1)&gt;0,VLOOKUP(ROW()-1,Дела!$A:$M,13,0),"")</f>
        <v/>
      </c>
      <c r="G340" s="13" t="str">
        <f>IF(COUNTIF(Дела!$A:$A,ROW()-1)&gt;0,VLOOKUP(ROW()-1,Дела!$A:$N,14,0),"")</f>
        <v/>
      </c>
      <c r="H340" s="11" t="str">
        <f>IF(COUNTIF(Дела!$A:$A,ROW()-1)&gt;0,VLOOKUP(ROW()-1,Дела!$A:$K,11,0),"")</f>
        <v/>
      </c>
    </row>
    <row r="341" spans="1:8" x14ac:dyDescent="0.25">
      <c r="A341" s="11" t="str">
        <f>IF(COUNTIF(Дела!$A:$A,ROW()-1)&gt;0,VLOOKUP(ROW()-1,Дела!$A:$C,3,0),"")</f>
        <v/>
      </c>
      <c r="B341" s="11" t="str">
        <f>IF(COUNTIF(Дела!$A:$A,ROW()-1)&gt;0,VLOOKUP(ROW()-1,Дела!$A:$F,6,0),"")</f>
        <v/>
      </c>
      <c r="C341" s="11" t="str">
        <f>IF(COUNTIF(Дела!$A:$A,ROW()-1)&gt;0,VLOOKUP(ROW()-1,Дела!$A:$G,7,0),"")</f>
        <v/>
      </c>
      <c r="D341" s="11" t="str">
        <f>IF(COUNTIF(Дела!$A:$A,ROW()-1)&gt;0,VLOOKUP(ROW()-1,Дела!$A:$I,9,0),"")</f>
        <v/>
      </c>
      <c r="E341" s="11" t="str">
        <f t="shared" si="5"/>
        <v/>
      </c>
      <c r="F341" s="12" t="str">
        <f>IF(COUNTIF(Дела!$A:$A,ROW()-1)&gt;0,VLOOKUP(ROW()-1,Дела!$A:$M,13,0),"")</f>
        <v/>
      </c>
      <c r="G341" s="13" t="str">
        <f>IF(COUNTIF(Дела!$A:$A,ROW()-1)&gt;0,VLOOKUP(ROW()-1,Дела!$A:$N,14,0),"")</f>
        <v/>
      </c>
      <c r="H341" s="11" t="str">
        <f>IF(COUNTIF(Дела!$A:$A,ROW()-1)&gt;0,VLOOKUP(ROW()-1,Дела!$A:$K,11,0),"")</f>
        <v/>
      </c>
    </row>
    <row r="342" spans="1:8" x14ac:dyDescent="0.25">
      <c r="A342" s="11" t="str">
        <f>IF(COUNTIF(Дела!$A:$A,ROW()-1)&gt;0,VLOOKUP(ROW()-1,Дела!$A:$C,3,0),"")</f>
        <v/>
      </c>
      <c r="B342" s="11" t="str">
        <f>IF(COUNTIF(Дела!$A:$A,ROW()-1)&gt;0,VLOOKUP(ROW()-1,Дела!$A:$F,6,0),"")</f>
        <v/>
      </c>
      <c r="C342" s="11" t="str">
        <f>IF(COUNTIF(Дела!$A:$A,ROW()-1)&gt;0,VLOOKUP(ROW()-1,Дела!$A:$G,7,0),"")</f>
        <v/>
      </c>
      <c r="D342" s="11" t="str">
        <f>IF(COUNTIF(Дела!$A:$A,ROW()-1)&gt;0,VLOOKUP(ROW()-1,Дела!$A:$I,9,0),"")</f>
        <v/>
      </c>
      <c r="E342" s="11" t="str">
        <f t="shared" si="5"/>
        <v/>
      </c>
      <c r="F342" s="12" t="str">
        <f>IF(COUNTIF(Дела!$A:$A,ROW()-1)&gt;0,VLOOKUP(ROW()-1,Дела!$A:$M,13,0),"")</f>
        <v/>
      </c>
      <c r="G342" s="13" t="str">
        <f>IF(COUNTIF(Дела!$A:$A,ROW()-1)&gt;0,VLOOKUP(ROW()-1,Дела!$A:$N,14,0),"")</f>
        <v/>
      </c>
      <c r="H342" s="11" t="str">
        <f>IF(COUNTIF(Дела!$A:$A,ROW()-1)&gt;0,VLOOKUP(ROW()-1,Дела!$A:$K,11,0),"")</f>
        <v/>
      </c>
    </row>
    <row r="343" spans="1:8" x14ac:dyDescent="0.25">
      <c r="A343" s="11" t="str">
        <f>IF(COUNTIF(Дела!$A:$A,ROW()-1)&gt;0,VLOOKUP(ROW()-1,Дела!$A:$C,3,0),"")</f>
        <v/>
      </c>
      <c r="B343" s="11" t="str">
        <f>IF(COUNTIF(Дела!$A:$A,ROW()-1)&gt;0,VLOOKUP(ROW()-1,Дела!$A:$F,6,0),"")</f>
        <v/>
      </c>
      <c r="C343" s="11" t="str">
        <f>IF(COUNTIF(Дела!$A:$A,ROW()-1)&gt;0,VLOOKUP(ROW()-1,Дела!$A:$G,7,0),"")</f>
        <v/>
      </c>
      <c r="D343" s="11" t="str">
        <f>IF(COUNTIF(Дела!$A:$A,ROW()-1)&gt;0,VLOOKUP(ROW()-1,Дела!$A:$I,9,0),"")</f>
        <v/>
      </c>
      <c r="E343" s="11" t="str">
        <f t="shared" si="5"/>
        <v/>
      </c>
      <c r="F343" s="12" t="str">
        <f>IF(COUNTIF(Дела!$A:$A,ROW()-1)&gt;0,VLOOKUP(ROW()-1,Дела!$A:$M,13,0),"")</f>
        <v/>
      </c>
      <c r="G343" s="13" t="str">
        <f>IF(COUNTIF(Дела!$A:$A,ROW()-1)&gt;0,VLOOKUP(ROW()-1,Дела!$A:$N,14,0),"")</f>
        <v/>
      </c>
      <c r="H343" s="11" t="str">
        <f>IF(COUNTIF(Дела!$A:$A,ROW()-1)&gt;0,VLOOKUP(ROW()-1,Дела!$A:$K,11,0),"")</f>
        <v/>
      </c>
    </row>
    <row r="344" spans="1:8" x14ac:dyDescent="0.25">
      <c r="A344" s="11" t="str">
        <f>IF(COUNTIF(Дела!$A:$A,ROW()-1)&gt;0,VLOOKUP(ROW()-1,Дела!$A:$C,3,0),"")</f>
        <v/>
      </c>
      <c r="B344" s="11" t="str">
        <f>IF(COUNTIF(Дела!$A:$A,ROW()-1)&gt;0,VLOOKUP(ROW()-1,Дела!$A:$F,6,0),"")</f>
        <v/>
      </c>
      <c r="C344" s="11" t="str">
        <f>IF(COUNTIF(Дела!$A:$A,ROW()-1)&gt;0,VLOOKUP(ROW()-1,Дела!$A:$G,7,0),"")</f>
        <v/>
      </c>
      <c r="D344" s="11" t="str">
        <f>IF(COUNTIF(Дела!$A:$A,ROW()-1)&gt;0,VLOOKUP(ROW()-1,Дела!$A:$I,9,0),"")</f>
        <v/>
      </c>
      <c r="E344" s="11" t="str">
        <f t="shared" si="5"/>
        <v/>
      </c>
      <c r="F344" s="12" t="str">
        <f>IF(COUNTIF(Дела!$A:$A,ROW()-1)&gt;0,VLOOKUP(ROW()-1,Дела!$A:$M,13,0),"")</f>
        <v/>
      </c>
      <c r="G344" s="13" t="str">
        <f>IF(COUNTIF(Дела!$A:$A,ROW()-1)&gt;0,VLOOKUP(ROW()-1,Дела!$A:$N,14,0),"")</f>
        <v/>
      </c>
      <c r="H344" s="11" t="str">
        <f>IF(COUNTIF(Дела!$A:$A,ROW()-1)&gt;0,VLOOKUP(ROW()-1,Дела!$A:$K,11,0),"")</f>
        <v/>
      </c>
    </row>
    <row r="345" spans="1:8" x14ac:dyDescent="0.25">
      <c r="A345" s="11" t="str">
        <f>IF(COUNTIF(Дела!$A:$A,ROW()-1)&gt;0,VLOOKUP(ROW()-1,Дела!$A:$C,3,0),"")</f>
        <v/>
      </c>
      <c r="B345" s="11" t="str">
        <f>IF(COUNTIF(Дела!$A:$A,ROW()-1)&gt;0,VLOOKUP(ROW()-1,Дела!$A:$F,6,0),"")</f>
        <v/>
      </c>
      <c r="C345" s="11" t="str">
        <f>IF(COUNTIF(Дела!$A:$A,ROW()-1)&gt;0,VLOOKUP(ROW()-1,Дела!$A:$G,7,0),"")</f>
        <v/>
      </c>
      <c r="D345" s="11" t="str">
        <f>IF(COUNTIF(Дела!$A:$A,ROW()-1)&gt;0,VLOOKUP(ROW()-1,Дела!$A:$I,9,0),"")</f>
        <v/>
      </c>
      <c r="E345" s="11" t="str">
        <f t="shared" si="5"/>
        <v/>
      </c>
      <c r="F345" s="12" t="str">
        <f>IF(COUNTIF(Дела!$A:$A,ROW()-1)&gt;0,VLOOKUP(ROW()-1,Дела!$A:$M,13,0),"")</f>
        <v/>
      </c>
      <c r="G345" s="13" t="str">
        <f>IF(COUNTIF(Дела!$A:$A,ROW()-1)&gt;0,VLOOKUP(ROW()-1,Дела!$A:$N,14,0),"")</f>
        <v/>
      </c>
      <c r="H345" s="11" t="str">
        <f>IF(COUNTIF(Дела!$A:$A,ROW()-1)&gt;0,VLOOKUP(ROW()-1,Дела!$A:$K,11,0),"")</f>
        <v/>
      </c>
    </row>
    <row r="346" spans="1:8" x14ac:dyDescent="0.25">
      <c r="A346" s="11" t="str">
        <f>IF(COUNTIF(Дела!$A:$A,ROW()-1)&gt;0,VLOOKUP(ROW()-1,Дела!$A:$C,3,0),"")</f>
        <v/>
      </c>
      <c r="B346" s="11" t="str">
        <f>IF(COUNTIF(Дела!$A:$A,ROW()-1)&gt;0,VLOOKUP(ROW()-1,Дела!$A:$F,6,0),"")</f>
        <v/>
      </c>
      <c r="C346" s="11" t="str">
        <f>IF(COUNTIF(Дела!$A:$A,ROW()-1)&gt;0,VLOOKUP(ROW()-1,Дела!$A:$G,7,0),"")</f>
        <v/>
      </c>
      <c r="D346" s="11" t="str">
        <f>IF(COUNTIF(Дела!$A:$A,ROW()-1)&gt;0,VLOOKUP(ROW()-1,Дела!$A:$I,9,0),"")</f>
        <v/>
      </c>
      <c r="E346" s="11" t="str">
        <f t="shared" si="5"/>
        <v/>
      </c>
      <c r="F346" s="12" t="str">
        <f>IF(COUNTIF(Дела!$A:$A,ROW()-1)&gt;0,VLOOKUP(ROW()-1,Дела!$A:$M,13,0),"")</f>
        <v/>
      </c>
      <c r="G346" s="13" t="str">
        <f>IF(COUNTIF(Дела!$A:$A,ROW()-1)&gt;0,VLOOKUP(ROW()-1,Дела!$A:$N,14,0),"")</f>
        <v/>
      </c>
      <c r="H346" s="11" t="str">
        <f>IF(COUNTIF(Дела!$A:$A,ROW()-1)&gt;0,VLOOKUP(ROW()-1,Дела!$A:$K,11,0),"")</f>
        <v/>
      </c>
    </row>
    <row r="347" spans="1:8" x14ac:dyDescent="0.25">
      <c r="A347" s="11" t="str">
        <f>IF(COUNTIF(Дела!$A:$A,ROW()-1)&gt;0,VLOOKUP(ROW()-1,Дела!$A:$C,3,0),"")</f>
        <v/>
      </c>
      <c r="B347" s="11" t="str">
        <f>IF(COUNTIF(Дела!$A:$A,ROW()-1)&gt;0,VLOOKUP(ROW()-1,Дела!$A:$F,6,0),"")</f>
        <v/>
      </c>
      <c r="C347" s="11" t="str">
        <f>IF(COUNTIF(Дела!$A:$A,ROW()-1)&gt;0,VLOOKUP(ROW()-1,Дела!$A:$G,7,0),"")</f>
        <v/>
      </c>
      <c r="D347" s="11" t="str">
        <f>IF(COUNTIF(Дела!$A:$A,ROW()-1)&gt;0,VLOOKUP(ROW()-1,Дела!$A:$I,9,0),"")</f>
        <v/>
      </c>
      <c r="E347" s="11" t="str">
        <f t="shared" si="5"/>
        <v/>
      </c>
      <c r="F347" s="12" t="str">
        <f>IF(COUNTIF(Дела!$A:$A,ROW()-1)&gt;0,VLOOKUP(ROW()-1,Дела!$A:$M,13,0),"")</f>
        <v/>
      </c>
      <c r="G347" s="13" t="str">
        <f>IF(COUNTIF(Дела!$A:$A,ROW()-1)&gt;0,VLOOKUP(ROW()-1,Дела!$A:$N,14,0),"")</f>
        <v/>
      </c>
      <c r="H347" s="11" t="str">
        <f>IF(COUNTIF(Дела!$A:$A,ROW()-1)&gt;0,VLOOKUP(ROW()-1,Дела!$A:$K,11,0),"")</f>
        <v/>
      </c>
    </row>
    <row r="348" spans="1:8" x14ac:dyDescent="0.25">
      <c r="A348" s="11" t="str">
        <f>IF(COUNTIF(Дела!$A:$A,ROW()-1)&gt;0,VLOOKUP(ROW()-1,Дела!$A:$C,3,0),"")</f>
        <v/>
      </c>
      <c r="B348" s="11" t="str">
        <f>IF(COUNTIF(Дела!$A:$A,ROW()-1)&gt;0,VLOOKUP(ROW()-1,Дела!$A:$F,6,0),"")</f>
        <v/>
      </c>
      <c r="C348" s="11" t="str">
        <f>IF(COUNTIF(Дела!$A:$A,ROW()-1)&gt;0,VLOOKUP(ROW()-1,Дела!$A:$G,7,0),"")</f>
        <v/>
      </c>
      <c r="D348" s="11" t="str">
        <f>IF(COUNTIF(Дела!$A:$A,ROW()-1)&gt;0,VLOOKUP(ROW()-1,Дела!$A:$I,9,0),"")</f>
        <v/>
      </c>
      <c r="E348" s="11" t="str">
        <f t="shared" si="5"/>
        <v/>
      </c>
      <c r="F348" s="12" t="str">
        <f>IF(COUNTIF(Дела!$A:$A,ROW()-1)&gt;0,VLOOKUP(ROW()-1,Дела!$A:$M,13,0),"")</f>
        <v/>
      </c>
      <c r="G348" s="13" t="str">
        <f>IF(COUNTIF(Дела!$A:$A,ROW()-1)&gt;0,VLOOKUP(ROW()-1,Дела!$A:$N,14,0),"")</f>
        <v/>
      </c>
      <c r="H348" s="11" t="str">
        <f>IF(COUNTIF(Дела!$A:$A,ROW()-1)&gt;0,VLOOKUP(ROW()-1,Дела!$A:$K,11,0),"")</f>
        <v/>
      </c>
    </row>
    <row r="349" spans="1:8" x14ac:dyDescent="0.25">
      <c r="A349" s="11" t="str">
        <f>IF(COUNTIF(Дела!$A:$A,ROW()-1)&gt;0,VLOOKUP(ROW()-1,Дела!$A:$C,3,0),"")</f>
        <v/>
      </c>
      <c r="B349" s="11" t="str">
        <f>IF(COUNTIF(Дела!$A:$A,ROW()-1)&gt;0,VLOOKUP(ROW()-1,Дела!$A:$F,6,0),"")</f>
        <v/>
      </c>
      <c r="C349" s="11" t="str">
        <f>IF(COUNTIF(Дела!$A:$A,ROW()-1)&gt;0,VLOOKUP(ROW()-1,Дела!$A:$G,7,0),"")</f>
        <v/>
      </c>
      <c r="D349" s="11" t="str">
        <f>IF(COUNTIF(Дела!$A:$A,ROW()-1)&gt;0,VLOOKUP(ROW()-1,Дела!$A:$I,9,0),"")</f>
        <v/>
      </c>
      <c r="E349" s="11" t="str">
        <f t="shared" si="5"/>
        <v/>
      </c>
      <c r="F349" s="12" t="str">
        <f>IF(COUNTIF(Дела!$A:$A,ROW()-1)&gt;0,VLOOKUP(ROW()-1,Дела!$A:$M,13,0),"")</f>
        <v/>
      </c>
      <c r="G349" s="13" t="str">
        <f>IF(COUNTIF(Дела!$A:$A,ROW()-1)&gt;0,VLOOKUP(ROW()-1,Дела!$A:$N,14,0),"")</f>
        <v/>
      </c>
      <c r="H349" s="11" t="str">
        <f>IF(COUNTIF(Дела!$A:$A,ROW()-1)&gt;0,VLOOKUP(ROW()-1,Дела!$A:$K,11,0),"")</f>
        <v/>
      </c>
    </row>
    <row r="350" spans="1:8" x14ac:dyDescent="0.25">
      <c r="A350" s="11" t="str">
        <f>IF(COUNTIF(Дела!$A:$A,ROW()-1)&gt;0,VLOOKUP(ROW()-1,Дела!$A:$C,3,0),"")</f>
        <v/>
      </c>
      <c r="B350" s="11" t="str">
        <f>IF(COUNTIF(Дела!$A:$A,ROW()-1)&gt;0,VLOOKUP(ROW()-1,Дела!$A:$F,6,0),"")</f>
        <v/>
      </c>
      <c r="C350" s="11" t="str">
        <f>IF(COUNTIF(Дела!$A:$A,ROW()-1)&gt;0,VLOOKUP(ROW()-1,Дела!$A:$G,7,0),"")</f>
        <v/>
      </c>
      <c r="D350" s="11" t="str">
        <f>IF(COUNTIF(Дела!$A:$A,ROW()-1)&gt;0,VLOOKUP(ROW()-1,Дела!$A:$I,9,0),"")</f>
        <v/>
      </c>
      <c r="E350" s="11" t="str">
        <f t="shared" si="5"/>
        <v/>
      </c>
      <c r="F350" s="12" t="str">
        <f>IF(COUNTIF(Дела!$A:$A,ROW()-1)&gt;0,VLOOKUP(ROW()-1,Дела!$A:$M,13,0),"")</f>
        <v/>
      </c>
      <c r="G350" s="13" t="str">
        <f>IF(COUNTIF(Дела!$A:$A,ROW()-1)&gt;0,VLOOKUP(ROW()-1,Дела!$A:$N,14,0),"")</f>
        <v/>
      </c>
      <c r="H350" s="11" t="str">
        <f>IF(COUNTIF(Дела!$A:$A,ROW()-1)&gt;0,VLOOKUP(ROW()-1,Дела!$A:$K,11,0),"")</f>
        <v/>
      </c>
    </row>
    <row r="351" spans="1:8" x14ac:dyDescent="0.25">
      <c r="A351" s="11" t="str">
        <f>IF(COUNTIF(Дела!$A:$A,ROW()-1)&gt;0,VLOOKUP(ROW()-1,Дела!$A:$C,3,0),"")</f>
        <v/>
      </c>
      <c r="B351" s="11" t="str">
        <f>IF(COUNTIF(Дела!$A:$A,ROW()-1)&gt;0,VLOOKUP(ROW()-1,Дела!$A:$F,6,0),"")</f>
        <v/>
      </c>
      <c r="C351" s="11" t="str">
        <f>IF(COUNTIF(Дела!$A:$A,ROW()-1)&gt;0,VLOOKUP(ROW()-1,Дела!$A:$G,7,0),"")</f>
        <v/>
      </c>
      <c r="D351" s="11" t="str">
        <f>IF(COUNTIF(Дела!$A:$A,ROW()-1)&gt;0,VLOOKUP(ROW()-1,Дела!$A:$I,9,0),"")</f>
        <v/>
      </c>
      <c r="E351" s="11" t="str">
        <f t="shared" si="5"/>
        <v/>
      </c>
      <c r="F351" s="12" t="str">
        <f>IF(COUNTIF(Дела!$A:$A,ROW()-1)&gt;0,VLOOKUP(ROW()-1,Дела!$A:$M,13,0),"")</f>
        <v/>
      </c>
      <c r="G351" s="13" t="str">
        <f>IF(COUNTIF(Дела!$A:$A,ROW()-1)&gt;0,VLOOKUP(ROW()-1,Дела!$A:$N,14,0),"")</f>
        <v/>
      </c>
      <c r="H351" s="11" t="str">
        <f>IF(COUNTIF(Дела!$A:$A,ROW()-1)&gt;0,VLOOKUP(ROW()-1,Дела!$A:$K,11,0),"")</f>
        <v/>
      </c>
    </row>
    <row r="352" spans="1:8" x14ac:dyDescent="0.25">
      <c r="A352" s="11" t="str">
        <f>IF(COUNTIF(Дела!$A:$A,ROW()-1)&gt;0,VLOOKUP(ROW()-1,Дела!$A:$C,3,0),"")</f>
        <v/>
      </c>
      <c r="B352" s="11" t="str">
        <f>IF(COUNTIF(Дела!$A:$A,ROW()-1)&gt;0,VLOOKUP(ROW()-1,Дела!$A:$F,6,0),"")</f>
        <v/>
      </c>
      <c r="C352" s="11" t="str">
        <f>IF(COUNTIF(Дела!$A:$A,ROW()-1)&gt;0,VLOOKUP(ROW()-1,Дела!$A:$G,7,0),"")</f>
        <v/>
      </c>
      <c r="D352" s="11" t="str">
        <f>IF(COUNTIF(Дела!$A:$A,ROW()-1)&gt;0,VLOOKUP(ROW()-1,Дела!$A:$I,9,0),"")</f>
        <v/>
      </c>
      <c r="E352" s="11" t="str">
        <f t="shared" si="5"/>
        <v/>
      </c>
      <c r="F352" s="12" t="str">
        <f>IF(COUNTIF(Дела!$A:$A,ROW()-1)&gt;0,VLOOKUP(ROW()-1,Дела!$A:$M,13,0),"")</f>
        <v/>
      </c>
      <c r="G352" s="13" t="str">
        <f>IF(COUNTIF(Дела!$A:$A,ROW()-1)&gt;0,VLOOKUP(ROW()-1,Дела!$A:$N,14,0),"")</f>
        <v/>
      </c>
      <c r="H352" s="11" t="str">
        <f>IF(COUNTIF(Дела!$A:$A,ROW()-1)&gt;0,VLOOKUP(ROW()-1,Дела!$A:$K,11,0),"")</f>
        <v/>
      </c>
    </row>
    <row r="353" spans="1:8" x14ac:dyDescent="0.25">
      <c r="A353" s="11" t="str">
        <f>IF(COUNTIF(Дела!$A:$A,ROW()-1)&gt;0,VLOOKUP(ROW()-1,Дела!$A:$C,3,0),"")</f>
        <v/>
      </c>
      <c r="B353" s="11" t="str">
        <f>IF(COUNTIF(Дела!$A:$A,ROW()-1)&gt;0,VLOOKUP(ROW()-1,Дела!$A:$F,6,0),"")</f>
        <v/>
      </c>
      <c r="C353" s="11" t="str">
        <f>IF(COUNTIF(Дела!$A:$A,ROW()-1)&gt;0,VLOOKUP(ROW()-1,Дела!$A:$G,7,0),"")</f>
        <v/>
      </c>
      <c r="D353" s="11" t="str">
        <f>IF(COUNTIF(Дела!$A:$A,ROW()-1)&gt;0,VLOOKUP(ROW()-1,Дела!$A:$I,9,0),"")</f>
        <v/>
      </c>
      <c r="E353" s="11" t="str">
        <f t="shared" si="5"/>
        <v/>
      </c>
      <c r="F353" s="12" t="str">
        <f>IF(COUNTIF(Дела!$A:$A,ROW()-1)&gt;0,VLOOKUP(ROW()-1,Дела!$A:$M,13,0),"")</f>
        <v/>
      </c>
      <c r="G353" s="13" t="str">
        <f>IF(COUNTIF(Дела!$A:$A,ROW()-1)&gt;0,VLOOKUP(ROW()-1,Дела!$A:$N,14,0),"")</f>
        <v/>
      </c>
      <c r="H353" s="11" t="str">
        <f>IF(COUNTIF(Дела!$A:$A,ROW()-1)&gt;0,VLOOKUP(ROW()-1,Дела!$A:$K,11,0),"")</f>
        <v/>
      </c>
    </row>
    <row r="354" spans="1:8" x14ac:dyDescent="0.25">
      <c r="A354" s="11" t="str">
        <f>IF(COUNTIF(Дела!$A:$A,ROW()-1)&gt;0,VLOOKUP(ROW()-1,Дела!$A:$C,3,0),"")</f>
        <v/>
      </c>
      <c r="B354" s="11" t="str">
        <f>IF(COUNTIF(Дела!$A:$A,ROW()-1)&gt;0,VLOOKUP(ROW()-1,Дела!$A:$F,6,0),"")</f>
        <v/>
      </c>
      <c r="C354" s="11" t="str">
        <f>IF(COUNTIF(Дела!$A:$A,ROW()-1)&gt;0,VLOOKUP(ROW()-1,Дела!$A:$G,7,0),"")</f>
        <v/>
      </c>
      <c r="D354" s="11" t="str">
        <f>IF(COUNTIF(Дела!$A:$A,ROW()-1)&gt;0,VLOOKUP(ROW()-1,Дела!$A:$I,9,0),"")</f>
        <v/>
      </c>
      <c r="E354" s="11" t="str">
        <f t="shared" si="5"/>
        <v/>
      </c>
      <c r="F354" s="12" t="str">
        <f>IF(COUNTIF(Дела!$A:$A,ROW()-1)&gt;0,VLOOKUP(ROW()-1,Дела!$A:$M,13,0),"")</f>
        <v/>
      </c>
      <c r="G354" s="13" t="str">
        <f>IF(COUNTIF(Дела!$A:$A,ROW()-1)&gt;0,VLOOKUP(ROW()-1,Дела!$A:$N,14,0),"")</f>
        <v/>
      </c>
      <c r="H354" s="11" t="str">
        <f>IF(COUNTIF(Дела!$A:$A,ROW()-1)&gt;0,VLOOKUP(ROW()-1,Дела!$A:$K,11,0),"")</f>
        <v/>
      </c>
    </row>
    <row r="355" spans="1:8" x14ac:dyDescent="0.25">
      <c r="A355" s="11" t="str">
        <f>IF(COUNTIF(Дела!$A:$A,ROW()-1)&gt;0,VLOOKUP(ROW()-1,Дела!$A:$C,3,0),"")</f>
        <v/>
      </c>
      <c r="B355" s="11" t="str">
        <f>IF(COUNTIF(Дела!$A:$A,ROW()-1)&gt;0,VLOOKUP(ROW()-1,Дела!$A:$F,6,0),"")</f>
        <v/>
      </c>
      <c r="C355" s="11" t="str">
        <f>IF(COUNTIF(Дела!$A:$A,ROW()-1)&gt;0,VLOOKUP(ROW()-1,Дела!$A:$G,7,0),"")</f>
        <v/>
      </c>
      <c r="D355" s="11" t="str">
        <f>IF(COUNTIF(Дела!$A:$A,ROW()-1)&gt;0,VLOOKUP(ROW()-1,Дела!$A:$I,9,0),"")</f>
        <v/>
      </c>
      <c r="E355" s="11" t="str">
        <f t="shared" si="5"/>
        <v/>
      </c>
      <c r="F355" s="12" t="str">
        <f>IF(COUNTIF(Дела!$A:$A,ROW()-1)&gt;0,VLOOKUP(ROW()-1,Дела!$A:$M,13,0),"")</f>
        <v/>
      </c>
      <c r="G355" s="13" t="str">
        <f>IF(COUNTIF(Дела!$A:$A,ROW()-1)&gt;0,VLOOKUP(ROW()-1,Дела!$A:$N,14,0),"")</f>
        <v/>
      </c>
      <c r="H355" s="11" t="str">
        <f>IF(COUNTIF(Дела!$A:$A,ROW()-1)&gt;0,VLOOKUP(ROW()-1,Дела!$A:$K,11,0),"")</f>
        <v/>
      </c>
    </row>
    <row r="356" spans="1:8" x14ac:dyDescent="0.25">
      <c r="A356" s="11" t="str">
        <f>IF(COUNTIF(Дела!$A:$A,ROW()-1)&gt;0,VLOOKUP(ROW()-1,Дела!$A:$C,3,0),"")</f>
        <v/>
      </c>
      <c r="B356" s="11" t="str">
        <f>IF(COUNTIF(Дела!$A:$A,ROW()-1)&gt;0,VLOOKUP(ROW()-1,Дела!$A:$F,6,0),"")</f>
        <v/>
      </c>
      <c r="C356" s="11" t="str">
        <f>IF(COUNTIF(Дела!$A:$A,ROW()-1)&gt;0,VLOOKUP(ROW()-1,Дела!$A:$G,7,0),"")</f>
        <v/>
      </c>
      <c r="D356" s="11" t="str">
        <f>IF(COUNTIF(Дела!$A:$A,ROW()-1)&gt;0,VLOOKUP(ROW()-1,Дела!$A:$I,9,0),"")</f>
        <v/>
      </c>
      <c r="E356" s="11" t="str">
        <f t="shared" si="5"/>
        <v/>
      </c>
      <c r="F356" s="12" t="str">
        <f>IF(COUNTIF(Дела!$A:$A,ROW()-1)&gt;0,VLOOKUP(ROW()-1,Дела!$A:$M,13,0),"")</f>
        <v/>
      </c>
      <c r="G356" s="13" t="str">
        <f>IF(COUNTIF(Дела!$A:$A,ROW()-1)&gt;0,VLOOKUP(ROW()-1,Дела!$A:$N,14,0),"")</f>
        <v/>
      </c>
      <c r="H356" s="11" t="str">
        <f>IF(COUNTIF(Дела!$A:$A,ROW()-1)&gt;0,VLOOKUP(ROW()-1,Дела!$A:$K,11,0),"")</f>
        <v/>
      </c>
    </row>
    <row r="357" spans="1:8" x14ac:dyDescent="0.25">
      <c r="A357" s="11" t="str">
        <f>IF(COUNTIF(Дела!$A:$A,ROW()-1)&gt;0,VLOOKUP(ROW()-1,Дела!$A:$C,3,0),"")</f>
        <v/>
      </c>
      <c r="B357" s="11" t="str">
        <f>IF(COUNTIF(Дела!$A:$A,ROW()-1)&gt;0,VLOOKUP(ROW()-1,Дела!$A:$F,6,0),"")</f>
        <v/>
      </c>
      <c r="C357" s="11" t="str">
        <f>IF(COUNTIF(Дела!$A:$A,ROW()-1)&gt;0,VLOOKUP(ROW()-1,Дела!$A:$G,7,0),"")</f>
        <v/>
      </c>
      <c r="D357" s="11" t="str">
        <f>IF(COUNTIF(Дела!$A:$A,ROW()-1)&gt;0,VLOOKUP(ROW()-1,Дела!$A:$I,9,0),"")</f>
        <v/>
      </c>
      <c r="E357" s="11" t="str">
        <f t="shared" si="5"/>
        <v/>
      </c>
      <c r="F357" s="12" t="str">
        <f>IF(COUNTIF(Дела!$A:$A,ROW()-1)&gt;0,VLOOKUP(ROW()-1,Дела!$A:$M,13,0),"")</f>
        <v/>
      </c>
      <c r="G357" s="13" t="str">
        <f>IF(COUNTIF(Дела!$A:$A,ROW()-1)&gt;0,VLOOKUP(ROW()-1,Дела!$A:$N,14,0),"")</f>
        <v/>
      </c>
      <c r="H357" s="11" t="str">
        <f>IF(COUNTIF(Дела!$A:$A,ROW()-1)&gt;0,VLOOKUP(ROW()-1,Дела!$A:$K,11,0),"")</f>
        <v/>
      </c>
    </row>
    <row r="358" spans="1:8" x14ac:dyDescent="0.25">
      <c r="A358" s="11" t="str">
        <f>IF(COUNTIF(Дела!$A:$A,ROW()-1)&gt;0,VLOOKUP(ROW()-1,Дела!$A:$C,3,0),"")</f>
        <v/>
      </c>
      <c r="B358" s="11" t="str">
        <f>IF(COUNTIF(Дела!$A:$A,ROW()-1)&gt;0,VLOOKUP(ROW()-1,Дела!$A:$F,6,0),"")</f>
        <v/>
      </c>
      <c r="C358" s="11" t="str">
        <f>IF(COUNTIF(Дела!$A:$A,ROW()-1)&gt;0,VLOOKUP(ROW()-1,Дела!$A:$G,7,0),"")</f>
        <v/>
      </c>
      <c r="D358" s="11" t="str">
        <f>IF(COUNTIF(Дела!$A:$A,ROW()-1)&gt;0,VLOOKUP(ROW()-1,Дела!$A:$I,9,0),"")</f>
        <v/>
      </c>
      <c r="E358" s="11" t="str">
        <f t="shared" si="5"/>
        <v/>
      </c>
      <c r="F358" s="12" t="str">
        <f>IF(COUNTIF(Дела!$A:$A,ROW()-1)&gt;0,VLOOKUP(ROW()-1,Дела!$A:$M,13,0),"")</f>
        <v/>
      </c>
      <c r="G358" s="13" t="str">
        <f>IF(COUNTIF(Дела!$A:$A,ROW()-1)&gt;0,VLOOKUP(ROW()-1,Дела!$A:$N,14,0),"")</f>
        <v/>
      </c>
      <c r="H358" s="11" t="str">
        <f>IF(COUNTIF(Дела!$A:$A,ROW()-1)&gt;0,VLOOKUP(ROW()-1,Дела!$A:$K,11,0),"")</f>
        <v/>
      </c>
    </row>
    <row r="359" spans="1:8" x14ac:dyDescent="0.25">
      <c r="A359" s="11" t="str">
        <f>IF(COUNTIF(Дела!$A:$A,ROW()-1)&gt;0,VLOOKUP(ROW()-1,Дела!$A:$C,3,0),"")</f>
        <v/>
      </c>
      <c r="B359" s="11" t="str">
        <f>IF(COUNTIF(Дела!$A:$A,ROW()-1)&gt;0,VLOOKUP(ROW()-1,Дела!$A:$F,6,0),"")</f>
        <v/>
      </c>
      <c r="C359" s="11" t="str">
        <f>IF(COUNTIF(Дела!$A:$A,ROW()-1)&gt;0,VLOOKUP(ROW()-1,Дела!$A:$G,7,0),"")</f>
        <v/>
      </c>
      <c r="D359" s="11" t="str">
        <f>IF(COUNTIF(Дела!$A:$A,ROW()-1)&gt;0,VLOOKUP(ROW()-1,Дела!$A:$I,9,0),"")</f>
        <v/>
      </c>
      <c r="E359" s="11" t="str">
        <f t="shared" si="5"/>
        <v/>
      </c>
      <c r="F359" s="12" t="str">
        <f>IF(COUNTIF(Дела!$A:$A,ROW()-1)&gt;0,VLOOKUP(ROW()-1,Дела!$A:$M,13,0),"")</f>
        <v/>
      </c>
      <c r="G359" s="13" t="str">
        <f>IF(COUNTIF(Дела!$A:$A,ROW()-1)&gt;0,VLOOKUP(ROW()-1,Дела!$A:$N,14,0),"")</f>
        <v/>
      </c>
      <c r="H359" s="11" t="str">
        <f>IF(COUNTIF(Дела!$A:$A,ROW()-1)&gt;0,VLOOKUP(ROW()-1,Дела!$A:$K,11,0),"")</f>
        <v/>
      </c>
    </row>
    <row r="360" spans="1:8" x14ac:dyDescent="0.25">
      <c r="A360" s="11" t="str">
        <f>IF(COUNTIF(Дела!$A:$A,ROW()-1)&gt;0,VLOOKUP(ROW()-1,Дела!$A:$C,3,0),"")</f>
        <v/>
      </c>
      <c r="B360" s="11" t="str">
        <f>IF(COUNTIF(Дела!$A:$A,ROW()-1)&gt;0,VLOOKUP(ROW()-1,Дела!$A:$F,6,0),"")</f>
        <v/>
      </c>
      <c r="C360" s="11" t="str">
        <f>IF(COUNTIF(Дела!$A:$A,ROW()-1)&gt;0,VLOOKUP(ROW()-1,Дела!$A:$G,7,0),"")</f>
        <v/>
      </c>
      <c r="D360" s="11" t="str">
        <f>IF(COUNTIF(Дела!$A:$A,ROW()-1)&gt;0,VLOOKUP(ROW()-1,Дела!$A:$I,9,0),"")</f>
        <v/>
      </c>
      <c r="E360" s="11" t="str">
        <f t="shared" si="5"/>
        <v/>
      </c>
      <c r="F360" s="12" t="str">
        <f>IF(COUNTIF(Дела!$A:$A,ROW()-1)&gt;0,VLOOKUP(ROW()-1,Дела!$A:$M,13,0),"")</f>
        <v/>
      </c>
      <c r="G360" s="13" t="str">
        <f>IF(COUNTIF(Дела!$A:$A,ROW()-1)&gt;0,VLOOKUP(ROW()-1,Дела!$A:$N,14,0),"")</f>
        <v/>
      </c>
      <c r="H360" s="11" t="str">
        <f>IF(COUNTIF(Дела!$A:$A,ROW()-1)&gt;0,VLOOKUP(ROW()-1,Дела!$A:$K,11,0),"")</f>
        <v/>
      </c>
    </row>
    <row r="361" spans="1:8" x14ac:dyDescent="0.25">
      <c r="A361" s="11" t="str">
        <f>IF(COUNTIF(Дела!$A:$A,ROW()-1)&gt;0,VLOOKUP(ROW()-1,Дела!$A:$C,3,0),"")</f>
        <v/>
      </c>
      <c r="B361" s="11" t="str">
        <f>IF(COUNTIF(Дела!$A:$A,ROW()-1)&gt;0,VLOOKUP(ROW()-1,Дела!$A:$F,6,0),"")</f>
        <v/>
      </c>
      <c r="C361" s="11" t="str">
        <f>IF(COUNTIF(Дела!$A:$A,ROW()-1)&gt;0,VLOOKUP(ROW()-1,Дела!$A:$G,7,0),"")</f>
        <v/>
      </c>
      <c r="D361" s="11" t="str">
        <f>IF(COUNTIF(Дела!$A:$A,ROW()-1)&gt;0,VLOOKUP(ROW()-1,Дела!$A:$I,9,0),"")</f>
        <v/>
      </c>
      <c r="E361" s="11" t="str">
        <f t="shared" si="5"/>
        <v/>
      </c>
      <c r="F361" s="12" t="str">
        <f>IF(COUNTIF(Дела!$A:$A,ROW()-1)&gt;0,VLOOKUP(ROW()-1,Дела!$A:$M,13,0),"")</f>
        <v/>
      </c>
      <c r="G361" s="13" t="str">
        <f>IF(COUNTIF(Дела!$A:$A,ROW()-1)&gt;0,VLOOKUP(ROW()-1,Дела!$A:$N,14,0),"")</f>
        <v/>
      </c>
      <c r="H361" s="11" t="str">
        <f>IF(COUNTIF(Дела!$A:$A,ROW()-1)&gt;0,VLOOKUP(ROW()-1,Дела!$A:$K,11,0),"")</f>
        <v/>
      </c>
    </row>
    <row r="362" spans="1:8" x14ac:dyDescent="0.25">
      <c r="A362" s="11" t="str">
        <f>IF(COUNTIF(Дела!$A:$A,ROW()-1)&gt;0,VLOOKUP(ROW()-1,Дела!$A:$C,3,0),"")</f>
        <v/>
      </c>
      <c r="B362" s="11" t="str">
        <f>IF(COUNTIF(Дела!$A:$A,ROW()-1)&gt;0,VLOOKUP(ROW()-1,Дела!$A:$F,6,0),"")</f>
        <v/>
      </c>
      <c r="C362" s="11" t="str">
        <f>IF(COUNTIF(Дела!$A:$A,ROW()-1)&gt;0,VLOOKUP(ROW()-1,Дела!$A:$G,7,0),"")</f>
        <v/>
      </c>
      <c r="D362" s="11" t="str">
        <f>IF(COUNTIF(Дела!$A:$A,ROW()-1)&gt;0,VLOOKUP(ROW()-1,Дела!$A:$I,9,0),"")</f>
        <v/>
      </c>
      <c r="E362" s="11" t="str">
        <f t="shared" si="5"/>
        <v/>
      </c>
      <c r="F362" s="12" t="str">
        <f>IF(COUNTIF(Дела!$A:$A,ROW()-1)&gt;0,VLOOKUP(ROW()-1,Дела!$A:$M,13,0),"")</f>
        <v/>
      </c>
      <c r="G362" s="13" t="str">
        <f>IF(COUNTIF(Дела!$A:$A,ROW()-1)&gt;0,VLOOKUP(ROW()-1,Дела!$A:$N,14,0),"")</f>
        <v/>
      </c>
      <c r="H362" s="11" t="str">
        <f>IF(COUNTIF(Дела!$A:$A,ROW()-1)&gt;0,VLOOKUP(ROW()-1,Дела!$A:$K,11,0),"")</f>
        <v/>
      </c>
    </row>
    <row r="363" spans="1:8" x14ac:dyDescent="0.25">
      <c r="A363" s="11" t="str">
        <f>IF(COUNTIF(Дела!$A:$A,ROW()-1)&gt;0,VLOOKUP(ROW()-1,Дела!$A:$C,3,0),"")</f>
        <v/>
      </c>
      <c r="B363" s="11" t="str">
        <f>IF(COUNTIF(Дела!$A:$A,ROW()-1)&gt;0,VLOOKUP(ROW()-1,Дела!$A:$F,6,0),"")</f>
        <v/>
      </c>
      <c r="C363" s="11" t="str">
        <f>IF(COUNTIF(Дела!$A:$A,ROW()-1)&gt;0,VLOOKUP(ROW()-1,Дела!$A:$G,7,0),"")</f>
        <v/>
      </c>
      <c r="D363" s="11" t="str">
        <f>IF(COUNTIF(Дела!$A:$A,ROW()-1)&gt;0,VLOOKUP(ROW()-1,Дела!$A:$I,9,0),"")</f>
        <v/>
      </c>
      <c r="E363" s="11" t="str">
        <f t="shared" si="5"/>
        <v/>
      </c>
      <c r="F363" s="12" t="str">
        <f>IF(COUNTIF(Дела!$A:$A,ROW()-1)&gt;0,VLOOKUP(ROW()-1,Дела!$A:$M,13,0),"")</f>
        <v/>
      </c>
      <c r="G363" s="13" t="str">
        <f>IF(COUNTIF(Дела!$A:$A,ROW()-1)&gt;0,VLOOKUP(ROW()-1,Дела!$A:$N,14,0),"")</f>
        <v/>
      </c>
      <c r="H363" s="11" t="str">
        <f>IF(COUNTIF(Дела!$A:$A,ROW()-1)&gt;0,VLOOKUP(ROW()-1,Дела!$A:$K,11,0),"")</f>
        <v/>
      </c>
    </row>
    <row r="364" spans="1:8" x14ac:dyDescent="0.25">
      <c r="A364" s="11" t="str">
        <f>IF(COUNTIF(Дела!$A:$A,ROW()-1)&gt;0,VLOOKUP(ROW()-1,Дела!$A:$C,3,0),"")</f>
        <v/>
      </c>
      <c r="B364" s="11" t="str">
        <f>IF(COUNTIF(Дела!$A:$A,ROW()-1)&gt;0,VLOOKUP(ROW()-1,Дела!$A:$F,6,0),"")</f>
        <v/>
      </c>
      <c r="C364" s="11" t="str">
        <f>IF(COUNTIF(Дела!$A:$A,ROW()-1)&gt;0,VLOOKUP(ROW()-1,Дела!$A:$G,7,0),"")</f>
        <v/>
      </c>
      <c r="D364" s="11" t="str">
        <f>IF(COUNTIF(Дела!$A:$A,ROW()-1)&gt;0,VLOOKUP(ROW()-1,Дела!$A:$I,9,0),"")</f>
        <v/>
      </c>
      <c r="E364" s="11" t="str">
        <f t="shared" si="5"/>
        <v/>
      </c>
      <c r="F364" s="12" t="str">
        <f>IF(COUNTIF(Дела!$A:$A,ROW()-1)&gt;0,VLOOKUP(ROW()-1,Дела!$A:$M,13,0),"")</f>
        <v/>
      </c>
      <c r="G364" s="13" t="str">
        <f>IF(COUNTIF(Дела!$A:$A,ROW()-1)&gt;0,VLOOKUP(ROW()-1,Дела!$A:$N,14,0),"")</f>
        <v/>
      </c>
      <c r="H364" s="11" t="str">
        <f>IF(COUNTIF(Дела!$A:$A,ROW()-1)&gt;0,VLOOKUP(ROW()-1,Дела!$A:$K,11,0),"")</f>
        <v/>
      </c>
    </row>
    <row r="365" spans="1:8" x14ac:dyDescent="0.25">
      <c r="A365" s="11" t="str">
        <f>IF(COUNTIF(Дела!$A:$A,ROW()-1)&gt;0,VLOOKUP(ROW()-1,Дела!$A:$C,3,0),"")</f>
        <v/>
      </c>
      <c r="B365" s="11" t="str">
        <f>IF(COUNTIF(Дела!$A:$A,ROW()-1)&gt;0,VLOOKUP(ROW()-1,Дела!$A:$F,6,0),"")</f>
        <v/>
      </c>
      <c r="C365" s="11" t="str">
        <f>IF(COUNTIF(Дела!$A:$A,ROW()-1)&gt;0,VLOOKUP(ROW()-1,Дела!$A:$G,7,0),"")</f>
        <v/>
      </c>
      <c r="D365" s="11" t="str">
        <f>IF(COUNTIF(Дела!$A:$A,ROW()-1)&gt;0,VLOOKUP(ROW()-1,Дела!$A:$I,9,0),"")</f>
        <v/>
      </c>
      <c r="E365" s="11" t="str">
        <f t="shared" si="5"/>
        <v/>
      </c>
      <c r="F365" s="12" t="str">
        <f>IF(COUNTIF(Дела!$A:$A,ROW()-1)&gt;0,VLOOKUP(ROW()-1,Дела!$A:$M,13,0),"")</f>
        <v/>
      </c>
      <c r="G365" s="13" t="str">
        <f>IF(COUNTIF(Дела!$A:$A,ROW()-1)&gt;0,VLOOKUP(ROW()-1,Дела!$A:$N,14,0),"")</f>
        <v/>
      </c>
      <c r="H365" s="11" t="str">
        <f>IF(COUNTIF(Дела!$A:$A,ROW()-1)&gt;0,VLOOKUP(ROW()-1,Дела!$A:$K,11,0),"")</f>
        <v/>
      </c>
    </row>
    <row r="366" spans="1:8" x14ac:dyDescent="0.25">
      <c r="A366" s="11" t="str">
        <f>IF(COUNTIF(Дела!$A:$A,ROW()-1)&gt;0,VLOOKUP(ROW()-1,Дела!$A:$C,3,0),"")</f>
        <v/>
      </c>
      <c r="B366" s="11" t="str">
        <f>IF(COUNTIF(Дела!$A:$A,ROW()-1)&gt;0,VLOOKUP(ROW()-1,Дела!$A:$F,6,0),"")</f>
        <v/>
      </c>
      <c r="C366" s="11" t="str">
        <f>IF(COUNTIF(Дела!$A:$A,ROW()-1)&gt;0,VLOOKUP(ROW()-1,Дела!$A:$G,7,0),"")</f>
        <v/>
      </c>
      <c r="D366" s="11" t="str">
        <f>IF(COUNTIF(Дела!$A:$A,ROW()-1)&gt;0,VLOOKUP(ROW()-1,Дела!$A:$I,9,0),"")</f>
        <v/>
      </c>
      <c r="E366" s="11" t="str">
        <f t="shared" si="5"/>
        <v/>
      </c>
      <c r="F366" s="12" t="str">
        <f>IF(COUNTIF(Дела!$A:$A,ROW()-1)&gt;0,VLOOKUP(ROW()-1,Дела!$A:$M,13,0),"")</f>
        <v/>
      </c>
      <c r="G366" s="13" t="str">
        <f>IF(COUNTIF(Дела!$A:$A,ROW()-1)&gt;0,VLOOKUP(ROW()-1,Дела!$A:$N,14,0),"")</f>
        <v/>
      </c>
      <c r="H366" s="11" t="str">
        <f>IF(COUNTIF(Дела!$A:$A,ROW()-1)&gt;0,VLOOKUP(ROW()-1,Дела!$A:$K,11,0),"")</f>
        <v/>
      </c>
    </row>
    <row r="367" spans="1:8" x14ac:dyDescent="0.25">
      <c r="A367" s="11" t="str">
        <f>IF(COUNTIF(Дела!$A:$A,ROW()-1)&gt;0,VLOOKUP(ROW()-1,Дела!$A:$C,3,0),"")</f>
        <v/>
      </c>
      <c r="B367" s="11" t="str">
        <f>IF(COUNTIF(Дела!$A:$A,ROW()-1)&gt;0,VLOOKUP(ROW()-1,Дела!$A:$F,6,0),"")</f>
        <v/>
      </c>
      <c r="C367" s="11" t="str">
        <f>IF(COUNTIF(Дела!$A:$A,ROW()-1)&gt;0,VLOOKUP(ROW()-1,Дела!$A:$G,7,0),"")</f>
        <v/>
      </c>
      <c r="D367" s="11" t="str">
        <f>IF(COUNTIF(Дела!$A:$A,ROW()-1)&gt;0,VLOOKUP(ROW()-1,Дела!$A:$I,9,0),"")</f>
        <v/>
      </c>
      <c r="E367" s="11" t="str">
        <f t="shared" si="5"/>
        <v/>
      </c>
      <c r="F367" s="12" t="str">
        <f>IF(COUNTIF(Дела!$A:$A,ROW()-1)&gt;0,VLOOKUP(ROW()-1,Дела!$A:$M,13,0),"")</f>
        <v/>
      </c>
      <c r="G367" s="13" t="str">
        <f>IF(COUNTIF(Дела!$A:$A,ROW()-1)&gt;0,VLOOKUP(ROW()-1,Дела!$A:$N,14,0),"")</f>
        <v/>
      </c>
      <c r="H367" s="11" t="str">
        <f>IF(COUNTIF(Дела!$A:$A,ROW()-1)&gt;0,VLOOKUP(ROW()-1,Дела!$A:$K,11,0),"")</f>
        <v/>
      </c>
    </row>
    <row r="368" spans="1:8" x14ac:dyDescent="0.25">
      <c r="A368" s="11" t="str">
        <f>IF(COUNTIF(Дела!$A:$A,ROW()-1)&gt;0,VLOOKUP(ROW()-1,Дела!$A:$C,3,0),"")</f>
        <v/>
      </c>
      <c r="B368" s="11" t="str">
        <f>IF(COUNTIF(Дела!$A:$A,ROW()-1)&gt;0,VLOOKUP(ROW()-1,Дела!$A:$F,6,0),"")</f>
        <v/>
      </c>
      <c r="C368" s="11" t="str">
        <f>IF(COUNTIF(Дела!$A:$A,ROW()-1)&gt;0,VLOOKUP(ROW()-1,Дела!$A:$G,7,0),"")</f>
        <v/>
      </c>
      <c r="D368" s="11" t="str">
        <f>IF(COUNTIF(Дела!$A:$A,ROW()-1)&gt;0,VLOOKUP(ROW()-1,Дела!$A:$I,9,0),"")</f>
        <v/>
      </c>
      <c r="E368" s="11" t="str">
        <f t="shared" si="5"/>
        <v/>
      </c>
      <c r="F368" s="12" t="str">
        <f>IF(COUNTIF(Дела!$A:$A,ROW()-1)&gt;0,VLOOKUP(ROW()-1,Дела!$A:$M,13,0),"")</f>
        <v/>
      </c>
      <c r="G368" s="13" t="str">
        <f>IF(COUNTIF(Дела!$A:$A,ROW()-1)&gt;0,VLOOKUP(ROW()-1,Дела!$A:$N,14,0),"")</f>
        <v/>
      </c>
      <c r="H368" s="11" t="str">
        <f>IF(COUNTIF(Дела!$A:$A,ROW()-1)&gt;0,VLOOKUP(ROW()-1,Дела!$A:$K,11,0),"")</f>
        <v/>
      </c>
    </row>
    <row r="369" spans="1:8" x14ac:dyDescent="0.25">
      <c r="A369" s="11" t="str">
        <f>IF(COUNTIF(Дела!$A:$A,ROW()-1)&gt;0,VLOOKUP(ROW()-1,Дела!$A:$C,3,0),"")</f>
        <v/>
      </c>
      <c r="B369" s="11" t="str">
        <f>IF(COUNTIF(Дела!$A:$A,ROW()-1)&gt;0,VLOOKUP(ROW()-1,Дела!$A:$F,6,0),"")</f>
        <v/>
      </c>
      <c r="C369" s="11" t="str">
        <f>IF(COUNTIF(Дела!$A:$A,ROW()-1)&gt;0,VLOOKUP(ROW()-1,Дела!$A:$G,7,0),"")</f>
        <v/>
      </c>
      <c r="D369" s="11" t="str">
        <f>IF(COUNTIF(Дела!$A:$A,ROW()-1)&gt;0,VLOOKUP(ROW()-1,Дела!$A:$I,9,0),"")</f>
        <v/>
      </c>
      <c r="E369" s="11" t="str">
        <f t="shared" si="5"/>
        <v/>
      </c>
      <c r="F369" s="12" t="str">
        <f>IF(COUNTIF(Дела!$A:$A,ROW()-1)&gt;0,VLOOKUP(ROW()-1,Дела!$A:$M,13,0),"")</f>
        <v/>
      </c>
      <c r="G369" s="13" t="str">
        <f>IF(COUNTIF(Дела!$A:$A,ROW()-1)&gt;0,VLOOKUP(ROW()-1,Дела!$A:$N,14,0),"")</f>
        <v/>
      </c>
      <c r="H369" s="11" t="str">
        <f>IF(COUNTIF(Дела!$A:$A,ROW()-1)&gt;0,VLOOKUP(ROW()-1,Дела!$A:$K,11,0),"")</f>
        <v/>
      </c>
    </row>
    <row r="370" spans="1:8" x14ac:dyDescent="0.25">
      <c r="A370" s="11" t="str">
        <f>IF(COUNTIF(Дела!$A:$A,ROW()-1)&gt;0,VLOOKUP(ROW()-1,Дела!$A:$C,3,0),"")</f>
        <v/>
      </c>
      <c r="B370" s="11" t="str">
        <f>IF(COUNTIF(Дела!$A:$A,ROW()-1)&gt;0,VLOOKUP(ROW()-1,Дела!$A:$F,6,0),"")</f>
        <v/>
      </c>
      <c r="C370" s="11" t="str">
        <f>IF(COUNTIF(Дела!$A:$A,ROW()-1)&gt;0,VLOOKUP(ROW()-1,Дела!$A:$G,7,0),"")</f>
        <v/>
      </c>
      <c r="D370" s="11" t="str">
        <f>IF(COUNTIF(Дела!$A:$A,ROW()-1)&gt;0,VLOOKUP(ROW()-1,Дела!$A:$I,9,0),"")</f>
        <v/>
      </c>
      <c r="E370" s="11" t="str">
        <f t="shared" si="5"/>
        <v/>
      </c>
      <c r="F370" s="12" t="str">
        <f>IF(COUNTIF(Дела!$A:$A,ROW()-1)&gt;0,VLOOKUP(ROW()-1,Дела!$A:$M,13,0),"")</f>
        <v/>
      </c>
      <c r="G370" s="13" t="str">
        <f>IF(COUNTIF(Дела!$A:$A,ROW()-1)&gt;0,VLOOKUP(ROW()-1,Дела!$A:$N,14,0),"")</f>
        <v/>
      </c>
      <c r="H370" s="11" t="str">
        <f>IF(COUNTIF(Дела!$A:$A,ROW()-1)&gt;0,VLOOKUP(ROW()-1,Дела!$A:$K,11,0),"")</f>
        <v/>
      </c>
    </row>
    <row r="371" spans="1:8" x14ac:dyDescent="0.25">
      <c r="A371" s="11" t="str">
        <f>IF(COUNTIF(Дела!$A:$A,ROW()-1)&gt;0,VLOOKUP(ROW()-1,Дела!$A:$C,3,0),"")</f>
        <v/>
      </c>
      <c r="B371" s="11" t="str">
        <f>IF(COUNTIF(Дела!$A:$A,ROW()-1)&gt;0,VLOOKUP(ROW()-1,Дела!$A:$F,6,0),"")</f>
        <v/>
      </c>
      <c r="C371" s="11" t="str">
        <f>IF(COUNTIF(Дела!$A:$A,ROW()-1)&gt;0,VLOOKUP(ROW()-1,Дела!$A:$G,7,0),"")</f>
        <v/>
      </c>
      <c r="D371" s="11" t="str">
        <f>IF(COUNTIF(Дела!$A:$A,ROW()-1)&gt;0,VLOOKUP(ROW()-1,Дела!$A:$I,9,0),"")</f>
        <v/>
      </c>
      <c r="E371" s="11" t="str">
        <f t="shared" si="5"/>
        <v/>
      </c>
      <c r="F371" s="12" t="str">
        <f>IF(COUNTIF(Дела!$A:$A,ROW()-1)&gt;0,VLOOKUP(ROW()-1,Дела!$A:$M,13,0),"")</f>
        <v/>
      </c>
      <c r="G371" s="13" t="str">
        <f>IF(COUNTIF(Дела!$A:$A,ROW()-1)&gt;0,VLOOKUP(ROW()-1,Дела!$A:$N,14,0),"")</f>
        <v/>
      </c>
      <c r="H371" s="11" t="str">
        <f>IF(COUNTIF(Дела!$A:$A,ROW()-1)&gt;0,VLOOKUP(ROW()-1,Дела!$A:$K,11,0),"")</f>
        <v/>
      </c>
    </row>
    <row r="372" spans="1:8" x14ac:dyDescent="0.25">
      <c r="A372" s="11" t="str">
        <f>IF(COUNTIF(Дела!$A:$A,ROW()-1)&gt;0,VLOOKUP(ROW()-1,Дела!$A:$C,3,0),"")</f>
        <v/>
      </c>
      <c r="B372" s="11" t="str">
        <f>IF(COUNTIF(Дела!$A:$A,ROW()-1)&gt;0,VLOOKUP(ROW()-1,Дела!$A:$F,6,0),"")</f>
        <v/>
      </c>
      <c r="C372" s="11" t="str">
        <f>IF(COUNTIF(Дела!$A:$A,ROW()-1)&gt;0,VLOOKUP(ROW()-1,Дела!$A:$G,7,0),"")</f>
        <v/>
      </c>
      <c r="D372" s="11" t="str">
        <f>IF(COUNTIF(Дела!$A:$A,ROW()-1)&gt;0,VLOOKUP(ROW()-1,Дела!$A:$I,9,0),"")</f>
        <v/>
      </c>
      <c r="E372" s="11" t="str">
        <f t="shared" si="5"/>
        <v/>
      </c>
      <c r="F372" s="12" t="str">
        <f>IF(COUNTIF(Дела!$A:$A,ROW()-1)&gt;0,VLOOKUP(ROW()-1,Дела!$A:$M,13,0),"")</f>
        <v/>
      </c>
      <c r="G372" s="13" t="str">
        <f>IF(COUNTIF(Дела!$A:$A,ROW()-1)&gt;0,VLOOKUP(ROW()-1,Дела!$A:$N,14,0),"")</f>
        <v/>
      </c>
      <c r="H372" s="11" t="str">
        <f>IF(COUNTIF(Дела!$A:$A,ROW()-1)&gt;0,VLOOKUP(ROW()-1,Дела!$A:$K,11,0),"")</f>
        <v/>
      </c>
    </row>
    <row r="373" spans="1:8" x14ac:dyDescent="0.25">
      <c r="A373" s="11" t="str">
        <f>IF(COUNTIF(Дела!$A:$A,ROW()-1)&gt;0,VLOOKUP(ROW()-1,Дела!$A:$C,3,0),"")</f>
        <v/>
      </c>
      <c r="B373" s="11" t="str">
        <f>IF(COUNTIF(Дела!$A:$A,ROW()-1)&gt;0,VLOOKUP(ROW()-1,Дела!$A:$F,6,0),"")</f>
        <v/>
      </c>
      <c r="C373" s="11" t="str">
        <f>IF(COUNTIF(Дела!$A:$A,ROW()-1)&gt;0,VLOOKUP(ROW()-1,Дела!$A:$G,7,0),"")</f>
        <v/>
      </c>
      <c r="D373" s="11" t="str">
        <f>IF(COUNTIF(Дела!$A:$A,ROW()-1)&gt;0,VLOOKUP(ROW()-1,Дела!$A:$I,9,0),"")</f>
        <v/>
      </c>
      <c r="E373" s="11" t="str">
        <f t="shared" si="5"/>
        <v/>
      </c>
      <c r="F373" s="12" t="str">
        <f>IF(COUNTIF(Дела!$A:$A,ROW()-1)&gt;0,VLOOKUP(ROW()-1,Дела!$A:$M,13,0),"")</f>
        <v/>
      </c>
      <c r="G373" s="13" t="str">
        <f>IF(COUNTIF(Дела!$A:$A,ROW()-1)&gt;0,VLOOKUP(ROW()-1,Дела!$A:$N,14,0),"")</f>
        <v/>
      </c>
      <c r="H373" s="11" t="str">
        <f>IF(COUNTIF(Дела!$A:$A,ROW()-1)&gt;0,VLOOKUP(ROW()-1,Дела!$A:$K,11,0),"")</f>
        <v/>
      </c>
    </row>
    <row r="374" spans="1:8" x14ac:dyDescent="0.25">
      <c r="A374" s="11" t="str">
        <f>IF(COUNTIF(Дела!$A:$A,ROW()-1)&gt;0,VLOOKUP(ROW()-1,Дела!$A:$C,3,0),"")</f>
        <v/>
      </c>
      <c r="B374" s="11" t="str">
        <f>IF(COUNTIF(Дела!$A:$A,ROW()-1)&gt;0,VLOOKUP(ROW()-1,Дела!$A:$F,6,0),"")</f>
        <v/>
      </c>
      <c r="C374" s="11" t="str">
        <f>IF(COUNTIF(Дела!$A:$A,ROW()-1)&gt;0,VLOOKUP(ROW()-1,Дела!$A:$G,7,0),"")</f>
        <v/>
      </c>
      <c r="D374" s="11" t="str">
        <f>IF(COUNTIF(Дела!$A:$A,ROW()-1)&gt;0,VLOOKUP(ROW()-1,Дела!$A:$I,9,0),"")</f>
        <v/>
      </c>
      <c r="E374" s="11" t="str">
        <f t="shared" si="5"/>
        <v/>
      </c>
      <c r="F374" s="12" t="str">
        <f>IF(COUNTIF(Дела!$A:$A,ROW()-1)&gt;0,VLOOKUP(ROW()-1,Дела!$A:$M,13,0),"")</f>
        <v/>
      </c>
      <c r="G374" s="13" t="str">
        <f>IF(COUNTIF(Дела!$A:$A,ROW()-1)&gt;0,VLOOKUP(ROW()-1,Дела!$A:$N,14,0),"")</f>
        <v/>
      </c>
      <c r="H374" s="11" t="str">
        <f>IF(COUNTIF(Дела!$A:$A,ROW()-1)&gt;0,VLOOKUP(ROW()-1,Дела!$A:$K,11,0),"")</f>
        <v/>
      </c>
    </row>
    <row r="375" spans="1:8" x14ac:dyDescent="0.25">
      <c r="A375" s="11" t="str">
        <f>IF(COUNTIF(Дела!$A:$A,ROW()-1)&gt;0,VLOOKUP(ROW()-1,Дела!$A:$C,3,0),"")</f>
        <v/>
      </c>
      <c r="B375" s="11" t="str">
        <f>IF(COUNTIF(Дела!$A:$A,ROW()-1)&gt;0,VLOOKUP(ROW()-1,Дела!$A:$F,6,0),"")</f>
        <v/>
      </c>
      <c r="C375" s="11" t="str">
        <f>IF(COUNTIF(Дела!$A:$A,ROW()-1)&gt;0,VLOOKUP(ROW()-1,Дела!$A:$G,7,0),"")</f>
        <v/>
      </c>
      <c r="D375" s="11" t="str">
        <f>IF(COUNTIF(Дела!$A:$A,ROW()-1)&gt;0,VLOOKUP(ROW()-1,Дела!$A:$I,9,0),"")</f>
        <v/>
      </c>
      <c r="E375" s="11" t="str">
        <f t="shared" si="5"/>
        <v/>
      </c>
      <c r="F375" s="12" t="str">
        <f>IF(COUNTIF(Дела!$A:$A,ROW()-1)&gt;0,VLOOKUP(ROW()-1,Дела!$A:$M,13,0),"")</f>
        <v/>
      </c>
      <c r="G375" s="13" t="str">
        <f>IF(COUNTIF(Дела!$A:$A,ROW()-1)&gt;0,VLOOKUP(ROW()-1,Дела!$A:$N,14,0),"")</f>
        <v/>
      </c>
      <c r="H375" s="11" t="str">
        <f>IF(COUNTIF(Дела!$A:$A,ROW()-1)&gt;0,VLOOKUP(ROW()-1,Дела!$A:$K,11,0),"")</f>
        <v/>
      </c>
    </row>
    <row r="376" spans="1:8" x14ac:dyDescent="0.25">
      <c r="A376" s="11" t="str">
        <f>IF(COUNTIF(Дела!$A:$A,ROW()-1)&gt;0,VLOOKUP(ROW()-1,Дела!$A:$C,3,0),"")</f>
        <v/>
      </c>
      <c r="B376" s="11" t="str">
        <f>IF(COUNTIF(Дела!$A:$A,ROW()-1)&gt;0,VLOOKUP(ROW()-1,Дела!$A:$F,6,0),"")</f>
        <v/>
      </c>
      <c r="C376" s="11" t="str">
        <f>IF(COUNTIF(Дела!$A:$A,ROW()-1)&gt;0,VLOOKUP(ROW()-1,Дела!$A:$G,7,0),"")</f>
        <v/>
      </c>
      <c r="D376" s="11" t="str">
        <f>IF(COUNTIF(Дела!$A:$A,ROW()-1)&gt;0,VLOOKUP(ROW()-1,Дела!$A:$I,9,0),"")</f>
        <v/>
      </c>
      <c r="E376" s="11" t="str">
        <f t="shared" si="5"/>
        <v/>
      </c>
      <c r="F376" s="12" t="str">
        <f>IF(COUNTIF(Дела!$A:$A,ROW()-1)&gt;0,VLOOKUP(ROW()-1,Дела!$A:$M,13,0),"")</f>
        <v/>
      </c>
      <c r="G376" s="13" t="str">
        <f>IF(COUNTIF(Дела!$A:$A,ROW()-1)&gt;0,VLOOKUP(ROW()-1,Дела!$A:$N,14,0),"")</f>
        <v/>
      </c>
      <c r="H376" s="11" t="str">
        <f>IF(COUNTIF(Дела!$A:$A,ROW()-1)&gt;0,VLOOKUP(ROW()-1,Дела!$A:$K,11,0),"")</f>
        <v/>
      </c>
    </row>
    <row r="377" spans="1:8" x14ac:dyDescent="0.25">
      <c r="A377" s="11" t="str">
        <f>IF(COUNTIF(Дела!$A:$A,ROW()-1)&gt;0,VLOOKUP(ROW()-1,Дела!$A:$C,3,0),"")</f>
        <v/>
      </c>
      <c r="B377" s="11" t="str">
        <f>IF(COUNTIF(Дела!$A:$A,ROW()-1)&gt;0,VLOOKUP(ROW()-1,Дела!$A:$F,6,0),"")</f>
        <v/>
      </c>
      <c r="C377" s="11" t="str">
        <f>IF(COUNTIF(Дела!$A:$A,ROW()-1)&gt;0,VLOOKUP(ROW()-1,Дела!$A:$G,7,0),"")</f>
        <v/>
      </c>
      <c r="D377" s="11" t="str">
        <f>IF(COUNTIF(Дела!$A:$A,ROW()-1)&gt;0,VLOOKUP(ROW()-1,Дела!$A:$I,9,0),"")</f>
        <v/>
      </c>
      <c r="E377" s="11" t="str">
        <f t="shared" si="5"/>
        <v/>
      </c>
      <c r="F377" s="12" t="str">
        <f>IF(COUNTIF(Дела!$A:$A,ROW()-1)&gt;0,VLOOKUP(ROW()-1,Дела!$A:$M,13,0),"")</f>
        <v/>
      </c>
      <c r="G377" s="13" t="str">
        <f>IF(COUNTIF(Дела!$A:$A,ROW()-1)&gt;0,VLOOKUP(ROW()-1,Дела!$A:$N,14,0),"")</f>
        <v/>
      </c>
      <c r="H377" s="11" t="str">
        <f>IF(COUNTIF(Дела!$A:$A,ROW()-1)&gt;0,VLOOKUP(ROW()-1,Дела!$A:$K,11,0),"")</f>
        <v/>
      </c>
    </row>
    <row r="378" spans="1:8" x14ac:dyDescent="0.25">
      <c r="A378" s="11" t="str">
        <f>IF(COUNTIF(Дела!$A:$A,ROW()-1)&gt;0,VLOOKUP(ROW()-1,Дела!$A:$C,3,0),"")</f>
        <v/>
      </c>
      <c r="B378" s="11" t="str">
        <f>IF(COUNTIF(Дела!$A:$A,ROW()-1)&gt;0,VLOOKUP(ROW()-1,Дела!$A:$F,6,0),"")</f>
        <v/>
      </c>
      <c r="C378" s="11" t="str">
        <f>IF(COUNTIF(Дела!$A:$A,ROW()-1)&gt;0,VLOOKUP(ROW()-1,Дела!$A:$G,7,0),"")</f>
        <v/>
      </c>
      <c r="D378" s="11" t="str">
        <f>IF(COUNTIF(Дела!$A:$A,ROW()-1)&gt;0,VLOOKUP(ROW()-1,Дела!$A:$I,9,0),"")</f>
        <v/>
      </c>
      <c r="E378" s="11" t="str">
        <f t="shared" si="5"/>
        <v/>
      </c>
      <c r="F378" s="12" t="str">
        <f>IF(COUNTIF(Дела!$A:$A,ROW()-1)&gt;0,VLOOKUP(ROW()-1,Дела!$A:$M,13,0),"")</f>
        <v/>
      </c>
      <c r="G378" s="13" t="str">
        <f>IF(COUNTIF(Дела!$A:$A,ROW()-1)&gt;0,VLOOKUP(ROW()-1,Дела!$A:$N,14,0),"")</f>
        <v/>
      </c>
      <c r="H378" s="11" t="str">
        <f>IF(COUNTIF(Дела!$A:$A,ROW()-1)&gt;0,VLOOKUP(ROW()-1,Дела!$A:$K,11,0),"")</f>
        <v/>
      </c>
    </row>
    <row r="379" spans="1:8" x14ac:dyDescent="0.25">
      <c r="A379" s="11" t="str">
        <f>IF(COUNTIF(Дела!$A:$A,ROW()-1)&gt;0,VLOOKUP(ROW()-1,Дела!$A:$C,3,0),"")</f>
        <v/>
      </c>
      <c r="B379" s="11" t="str">
        <f>IF(COUNTIF(Дела!$A:$A,ROW()-1)&gt;0,VLOOKUP(ROW()-1,Дела!$A:$F,6,0),"")</f>
        <v/>
      </c>
      <c r="C379" s="11" t="str">
        <f>IF(COUNTIF(Дела!$A:$A,ROW()-1)&gt;0,VLOOKUP(ROW()-1,Дела!$A:$G,7,0),"")</f>
        <v/>
      </c>
      <c r="D379" s="11" t="str">
        <f>IF(COUNTIF(Дела!$A:$A,ROW()-1)&gt;0,VLOOKUP(ROW()-1,Дела!$A:$I,9,0),"")</f>
        <v/>
      </c>
      <c r="E379" s="11" t="str">
        <f t="shared" si="5"/>
        <v/>
      </c>
      <c r="F379" s="12" t="str">
        <f>IF(COUNTIF(Дела!$A:$A,ROW()-1)&gt;0,VLOOKUP(ROW()-1,Дела!$A:$M,13,0),"")</f>
        <v/>
      </c>
      <c r="G379" s="13" t="str">
        <f>IF(COUNTIF(Дела!$A:$A,ROW()-1)&gt;0,VLOOKUP(ROW()-1,Дела!$A:$N,14,0),"")</f>
        <v/>
      </c>
      <c r="H379" s="11" t="str">
        <f>IF(COUNTIF(Дела!$A:$A,ROW()-1)&gt;0,VLOOKUP(ROW()-1,Дела!$A:$K,11,0),"")</f>
        <v/>
      </c>
    </row>
    <row r="380" spans="1:8" x14ac:dyDescent="0.25">
      <c r="A380" s="11" t="str">
        <f>IF(COUNTIF(Дела!$A:$A,ROW()-1)&gt;0,VLOOKUP(ROW()-1,Дела!$A:$C,3,0),"")</f>
        <v/>
      </c>
      <c r="B380" s="11" t="str">
        <f>IF(COUNTIF(Дела!$A:$A,ROW()-1)&gt;0,VLOOKUP(ROW()-1,Дела!$A:$F,6,0),"")</f>
        <v/>
      </c>
      <c r="C380" s="11" t="str">
        <f>IF(COUNTIF(Дела!$A:$A,ROW()-1)&gt;0,VLOOKUP(ROW()-1,Дела!$A:$G,7,0),"")</f>
        <v/>
      </c>
      <c r="D380" s="11" t="str">
        <f>IF(COUNTIF(Дела!$A:$A,ROW()-1)&gt;0,VLOOKUP(ROW()-1,Дела!$A:$I,9,0),"")</f>
        <v/>
      </c>
      <c r="E380" s="11" t="str">
        <f t="shared" si="5"/>
        <v/>
      </c>
      <c r="F380" s="12" t="str">
        <f>IF(COUNTIF(Дела!$A:$A,ROW()-1)&gt;0,VLOOKUP(ROW()-1,Дела!$A:$M,13,0),"")</f>
        <v/>
      </c>
      <c r="G380" s="13" t="str">
        <f>IF(COUNTIF(Дела!$A:$A,ROW()-1)&gt;0,VLOOKUP(ROW()-1,Дела!$A:$N,14,0),"")</f>
        <v/>
      </c>
      <c r="H380" s="11" t="str">
        <f>IF(COUNTIF(Дела!$A:$A,ROW()-1)&gt;0,VLOOKUP(ROW()-1,Дела!$A:$K,11,0),"")</f>
        <v/>
      </c>
    </row>
    <row r="381" spans="1:8" x14ac:dyDescent="0.25">
      <c r="A381" s="11" t="str">
        <f>IF(COUNTIF(Дела!$A:$A,ROW()-1)&gt;0,VLOOKUP(ROW()-1,Дела!$A:$C,3,0),"")</f>
        <v/>
      </c>
      <c r="B381" s="11" t="str">
        <f>IF(COUNTIF(Дела!$A:$A,ROW()-1)&gt;0,VLOOKUP(ROW()-1,Дела!$A:$F,6,0),"")</f>
        <v/>
      </c>
      <c r="C381" s="11" t="str">
        <f>IF(COUNTIF(Дела!$A:$A,ROW()-1)&gt;0,VLOOKUP(ROW()-1,Дела!$A:$G,7,0),"")</f>
        <v/>
      </c>
      <c r="D381" s="11" t="str">
        <f>IF(COUNTIF(Дела!$A:$A,ROW()-1)&gt;0,VLOOKUP(ROW()-1,Дела!$A:$I,9,0),"")</f>
        <v/>
      </c>
      <c r="E381" s="11" t="str">
        <f t="shared" si="5"/>
        <v/>
      </c>
      <c r="F381" s="12" t="str">
        <f>IF(COUNTIF(Дела!$A:$A,ROW()-1)&gt;0,VLOOKUP(ROW()-1,Дела!$A:$M,13,0),"")</f>
        <v/>
      </c>
      <c r="G381" s="13" t="str">
        <f>IF(COUNTIF(Дела!$A:$A,ROW()-1)&gt;0,VLOOKUP(ROW()-1,Дела!$A:$N,14,0),"")</f>
        <v/>
      </c>
      <c r="H381" s="11" t="str">
        <f>IF(COUNTIF(Дела!$A:$A,ROW()-1)&gt;0,VLOOKUP(ROW()-1,Дела!$A:$K,11,0),"")</f>
        <v/>
      </c>
    </row>
    <row r="382" spans="1:8" x14ac:dyDescent="0.25">
      <c r="A382" s="11" t="str">
        <f>IF(COUNTIF(Дела!$A:$A,ROW()-1)&gt;0,VLOOKUP(ROW()-1,Дела!$A:$C,3,0),"")</f>
        <v/>
      </c>
      <c r="B382" s="11" t="str">
        <f>IF(COUNTIF(Дела!$A:$A,ROW()-1)&gt;0,VLOOKUP(ROW()-1,Дела!$A:$F,6,0),"")</f>
        <v/>
      </c>
      <c r="C382" s="11" t="str">
        <f>IF(COUNTIF(Дела!$A:$A,ROW()-1)&gt;0,VLOOKUP(ROW()-1,Дела!$A:$G,7,0),"")</f>
        <v/>
      </c>
      <c r="D382" s="11" t="str">
        <f>IF(COUNTIF(Дела!$A:$A,ROW()-1)&gt;0,VLOOKUP(ROW()-1,Дела!$A:$I,9,0),"")</f>
        <v/>
      </c>
      <c r="E382" s="11" t="str">
        <f t="shared" si="5"/>
        <v/>
      </c>
      <c r="F382" s="12" t="str">
        <f>IF(COUNTIF(Дела!$A:$A,ROW()-1)&gt;0,VLOOKUP(ROW()-1,Дела!$A:$M,13,0),"")</f>
        <v/>
      </c>
      <c r="G382" s="13" t="str">
        <f>IF(COUNTIF(Дела!$A:$A,ROW()-1)&gt;0,VLOOKUP(ROW()-1,Дела!$A:$N,14,0),"")</f>
        <v/>
      </c>
      <c r="H382" s="11" t="str">
        <f>IF(COUNTIF(Дела!$A:$A,ROW()-1)&gt;0,VLOOKUP(ROW()-1,Дела!$A:$K,11,0),"")</f>
        <v/>
      </c>
    </row>
    <row r="383" spans="1:8" x14ac:dyDescent="0.25">
      <c r="A383" s="11" t="str">
        <f>IF(COUNTIF(Дела!$A:$A,ROW()-1)&gt;0,VLOOKUP(ROW()-1,Дела!$A:$C,3,0),"")</f>
        <v/>
      </c>
      <c r="B383" s="11" t="str">
        <f>IF(COUNTIF(Дела!$A:$A,ROW()-1)&gt;0,VLOOKUP(ROW()-1,Дела!$A:$F,6,0),"")</f>
        <v/>
      </c>
      <c r="C383" s="11" t="str">
        <f>IF(COUNTIF(Дела!$A:$A,ROW()-1)&gt;0,VLOOKUP(ROW()-1,Дела!$A:$G,7,0),"")</f>
        <v/>
      </c>
      <c r="D383" s="11" t="str">
        <f>IF(COUNTIF(Дела!$A:$A,ROW()-1)&gt;0,VLOOKUP(ROW()-1,Дела!$A:$I,9,0),"")</f>
        <v/>
      </c>
      <c r="E383" s="11" t="str">
        <f t="shared" si="5"/>
        <v/>
      </c>
      <c r="F383" s="12" t="str">
        <f>IF(COUNTIF(Дела!$A:$A,ROW()-1)&gt;0,VLOOKUP(ROW()-1,Дела!$A:$M,13,0),"")</f>
        <v/>
      </c>
      <c r="G383" s="13" t="str">
        <f>IF(COUNTIF(Дела!$A:$A,ROW()-1)&gt;0,VLOOKUP(ROW()-1,Дела!$A:$N,14,0),"")</f>
        <v/>
      </c>
      <c r="H383" s="11" t="str">
        <f>IF(COUNTIF(Дела!$A:$A,ROW()-1)&gt;0,VLOOKUP(ROW()-1,Дела!$A:$K,11,0),"")</f>
        <v/>
      </c>
    </row>
    <row r="384" spans="1:8" x14ac:dyDescent="0.25">
      <c r="A384" s="11" t="str">
        <f>IF(COUNTIF(Дела!$A:$A,ROW()-1)&gt;0,VLOOKUP(ROW()-1,Дела!$A:$C,3,0),"")</f>
        <v/>
      </c>
      <c r="B384" s="11" t="str">
        <f>IF(COUNTIF(Дела!$A:$A,ROW()-1)&gt;0,VLOOKUP(ROW()-1,Дела!$A:$F,6,0),"")</f>
        <v/>
      </c>
      <c r="C384" s="11" t="str">
        <f>IF(COUNTIF(Дела!$A:$A,ROW()-1)&gt;0,VLOOKUP(ROW()-1,Дела!$A:$G,7,0),"")</f>
        <v/>
      </c>
      <c r="D384" s="11" t="str">
        <f>IF(COUNTIF(Дела!$A:$A,ROW()-1)&gt;0,VLOOKUP(ROW()-1,Дела!$A:$I,9,0),"")</f>
        <v/>
      </c>
      <c r="E384" s="11" t="str">
        <f t="shared" si="5"/>
        <v/>
      </c>
      <c r="F384" s="12" t="str">
        <f>IF(COUNTIF(Дела!$A:$A,ROW()-1)&gt;0,VLOOKUP(ROW()-1,Дела!$A:$M,13,0),"")</f>
        <v/>
      </c>
      <c r="G384" s="13" t="str">
        <f>IF(COUNTIF(Дела!$A:$A,ROW()-1)&gt;0,VLOOKUP(ROW()-1,Дела!$A:$N,14,0),"")</f>
        <v/>
      </c>
      <c r="H384" s="11" t="str">
        <f>IF(COUNTIF(Дела!$A:$A,ROW()-1)&gt;0,VLOOKUP(ROW()-1,Дела!$A:$K,11,0),"")</f>
        <v/>
      </c>
    </row>
    <row r="385" spans="1:8" x14ac:dyDescent="0.25">
      <c r="A385" s="11" t="str">
        <f>IF(COUNTIF(Дела!$A:$A,ROW()-1)&gt;0,VLOOKUP(ROW()-1,Дела!$A:$C,3,0),"")</f>
        <v/>
      </c>
      <c r="B385" s="11" t="str">
        <f>IF(COUNTIF(Дела!$A:$A,ROW()-1)&gt;0,VLOOKUP(ROW()-1,Дела!$A:$F,6,0),"")</f>
        <v/>
      </c>
      <c r="C385" s="11" t="str">
        <f>IF(COUNTIF(Дела!$A:$A,ROW()-1)&gt;0,VLOOKUP(ROW()-1,Дела!$A:$G,7,0),"")</f>
        <v/>
      </c>
      <c r="D385" s="11" t="str">
        <f>IF(COUNTIF(Дела!$A:$A,ROW()-1)&gt;0,VLOOKUP(ROW()-1,Дела!$A:$I,9,0),"")</f>
        <v/>
      </c>
      <c r="E385" s="11" t="str">
        <f t="shared" si="5"/>
        <v/>
      </c>
      <c r="F385" s="12" t="str">
        <f>IF(COUNTIF(Дела!$A:$A,ROW()-1)&gt;0,VLOOKUP(ROW()-1,Дела!$A:$M,13,0),"")</f>
        <v/>
      </c>
      <c r="G385" s="13" t="str">
        <f>IF(COUNTIF(Дела!$A:$A,ROW()-1)&gt;0,VLOOKUP(ROW()-1,Дела!$A:$N,14,0),"")</f>
        <v/>
      </c>
      <c r="H385" s="11" t="str">
        <f>IF(COUNTIF(Дела!$A:$A,ROW()-1)&gt;0,VLOOKUP(ROW()-1,Дела!$A:$K,11,0),"")</f>
        <v/>
      </c>
    </row>
    <row r="386" spans="1:8" x14ac:dyDescent="0.25">
      <c r="A386" s="11" t="str">
        <f>IF(COUNTIF(Дела!$A:$A,ROW()-1)&gt;0,VLOOKUP(ROW()-1,Дела!$A:$C,3,0),"")</f>
        <v/>
      </c>
      <c r="B386" s="11" t="str">
        <f>IF(COUNTIF(Дела!$A:$A,ROW()-1)&gt;0,VLOOKUP(ROW()-1,Дела!$A:$F,6,0),"")</f>
        <v/>
      </c>
      <c r="C386" s="11" t="str">
        <f>IF(COUNTIF(Дела!$A:$A,ROW()-1)&gt;0,VLOOKUP(ROW()-1,Дела!$A:$G,7,0),"")</f>
        <v/>
      </c>
      <c r="D386" s="11" t="str">
        <f>IF(COUNTIF(Дела!$A:$A,ROW()-1)&gt;0,VLOOKUP(ROW()-1,Дела!$A:$I,9,0),"")</f>
        <v/>
      </c>
      <c r="E386" s="11" t="str">
        <f t="shared" si="5"/>
        <v/>
      </c>
      <c r="F386" s="12" t="str">
        <f>IF(COUNTIF(Дела!$A:$A,ROW()-1)&gt;0,VLOOKUP(ROW()-1,Дела!$A:$M,13,0),"")</f>
        <v/>
      </c>
      <c r="G386" s="13" t="str">
        <f>IF(COUNTIF(Дела!$A:$A,ROW()-1)&gt;0,VLOOKUP(ROW()-1,Дела!$A:$N,14,0),"")</f>
        <v/>
      </c>
      <c r="H386" s="11" t="str">
        <f>IF(COUNTIF(Дела!$A:$A,ROW()-1)&gt;0,VLOOKUP(ROW()-1,Дела!$A:$K,11,0),"")</f>
        <v/>
      </c>
    </row>
    <row r="387" spans="1:8" x14ac:dyDescent="0.25">
      <c r="A387" s="11" t="str">
        <f>IF(COUNTIF(Дела!$A:$A,ROW()-1)&gt;0,VLOOKUP(ROW()-1,Дела!$A:$C,3,0),"")</f>
        <v/>
      </c>
      <c r="B387" s="11" t="str">
        <f>IF(COUNTIF(Дела!$A:$A,ROW()-1)&gt;0,VLOOKUP(ROW()-1,Дела!$A:$F,6,0),"")</f>
        <v/>
      </c>
      <c r="C387" s="11" t="str">
        <f>IF(COUNTIF(Дела!$A:$A,ROW()-1)&gt;0,VLOOKUP(ROW()-1,Дела!$A:$G,7,0),"")</f>
        <v/>
      </c>
      <c r="D387" s="11" t="str">
        <f>IF(COUNTIF(Дела!$A:$A,ROW()-1)&gt;0,VLOOKUP(ROW()-1,Дела!$A:$I,9,0),"")</f>
        <v/>
      </c>
      <c r="E387" s="11" t="str">
        <f t="shared" ref="E387:E450" si="6">IF(H387="","",MID(H387,SEARCH(" ",H387)+1,1000))</f>
        <v/>
      </c>
      <c r="F387" s="12" t="str">
        <f>IF(COUNTIF(Дела!$A:$A,ROW()-1)&gt;0,VLOOKUP(ROW()-1,Дела!$A:$M,13,0),"")</f>
        <v/>
      </c>
      <c r="G387" s="13" t="str">
        <f>IF(COUNTIF(Дела!$A:$A,ROW()-1)&gt;0,VLOOKUP(ROW()-1,Дела!$A:$N,14,0),"")</f>
        <v/>
      </c>
      <c r="H387" s="11" t="str">
        <f>IF(COUNTIF(Дела!$A:$A,ROW()-1)&gt;0,VLOOKUP(ROW()-1,Дела!$A:$K,11,0),"")</f>
        <v/>
      </c>
    </row>
    <row r="388" spans="1:8" x14ac:dyDescent="0.25">
      <c r="A388" s="11" t="str">
        <f>IF(COUNTIF(Дела!$A:$A,ROW()-1)&gt;0,VLOOKUP(ROW()-1,Дела!$A:$C,3,0),"")</f>
        <v/>
      </c>
      <c r="B388" s="11" t="str">
        <f>IF(COUNTIF(Дела!$A:$A,ROW()-1)&gt;0,VLOOKUP(ROW()-1,Дела!$A:$F,6,0),"")</f>
        <v/>
      </c>
      <c r="C388" s="11" t="str">
        <f>IF(COUNTIF(Дела!$A:$A,ROW()-1)&gt;0,VLOOKUP(ROW()-1,Дела!$A:$G,7,0),"")</f>
        <v/>
      </c>
      <c r="D388" s="11" t="str">
        <f>IF(COUNTIF(Дела!$A:$A,ROW()-1)&gt;0,VLOOKUP(ROW()-1,Дела!$A:$I,9,0),"")</f>
        <v/>
      </c>
      <c r="E388" s="11" t="str">
        <f t="shared" si="6"/>
        <v/>
      </c>
      <c r="F388" s="12" t="str">
        <f>IF(COUNTIF(Дела!$A:$A,ROW()-1)&gt;0,VLOOKUP(ROW()-1,Дела!$A:$M,13,0),"")</f>
        <v/>
      </c>
      <c r="G388" s="13" t="str">
        <f>IF(COUNTIF(Дела!$A:$A,ROW()-1)&gt;0,VLOOKUP(ROW()-1,Дела!$A:$N,14,0),"")</f>
        <v/>
      </c>
      <c r="H388" s="11" t="str">
        <f>IF(COUNTIF(Дела!$A:$A,ROW()-1)&gt;0,VLOOKUP(ROW()-1,Дела!$A:$K,11,0),"")</f>
        <v/>
      </c>
    </row>
    <row r="389" spans="1:8" x14ac:dyDescent="0.25">
      <c r="A389" s="11" t="str">
        <f>IF(COUNTIF(Дела!$A:$A,ROW()-1)&gt;0,VLOOKUP(ROW()-1,Дела!$A:$C,3,0),"")</f>
        <v/>
      </c>
      <c r="B389" s="11" t="str">
        <f>IF(COUNTIF(Дела!$A:$A,ROW()-1)&gt;0,VLOOKUP(ROW()-1,Дела!$A:$F,6,0),"")</f>
        <v/>
      </c>
      <c r="C389" s="11" t="str">
        <f>IF(COUNTIF(Дела!$A:$A,ROW()-1)&gt;0,VLOOKUP(ROW()-1,Дела!$A:$G,7,0),"")</f>
        <v/>
      </c>
      <c r="D389" s="11" t="str">
        <f>IF(COUNTIF(Дела!$A:$A,ROW()-1)&gt;0,VLOOKUP(ROW()-1,Дела!$A:$I,9,0),"")</f>
        <v/>
      </c>
      <c r="E389" s="11" t="str">
        <f t="shared" si="6"/>
        <v/>
      </c>
      <c r="F389" s="12" t="str">
        <f>IF(COUNTIF(Дела!$A:$A,ROW()-1)&gt;0,VLOOKUP(ROW()-1,Дела!$A:$M,13,0),"")</f>
        <v/>
      </c>
      <c r="G389" s="13" t="str">
        <f>IF(COUNTIF(Дела!$A:$A,ROW()-1)&gt;0,VLOOKUP(ROW()-1,Дела!$A:$N,14,0),"")</f>
        <v/>
      </c>
      <c r="H389" s="11" t="str">
        <f>IF(COUNTIF(Дела!$A:$A,ROW()-1)&gt;0,VLOOKUP(ROW()-1,Дела!$A:$K,11,0),"")</f>
        <v/>
      </c>
    </row>
    <row r="390" spans="1:8" x14ac:dyDescent="0.25">
      <c r="A390" s="11" t="str">
        <f>IF(COUNTIF(Дела!$A:$A,ROW()-1)&gt;0,VLOOKUP(ROW()-1,Дела!$A:$C,3,0),"")</f>
        <v/>
      </c>
      <c r="B390" s="11" t="str">
        <f>IF(COUNTIF(Дела!$A:$A,ROW()-1)&gt;0,VLOOKUP(ROW()-1,Дела!$A:$F,6,0),"")</f>
        <v/>
      </c>
      <c r="C390" s="11" t="str">
        <f>IF(COUNTIF(Дела!$A:$A,ROW()-1)&gt;0,VLOOKUP(ROW()-1,Дела!$A:$G,7,0),"")</f>
        <v/>
      </c>
      <c r="D390" s="11" t="str">
        <f>IF(COUNTIF(Дела!$A:$A,ROW()-1)&gt;0,VLOOKUP(ROW()-1,Дела!$A:$I,9,0),"")</f>
        <v/>
      </c>
      <c r="E390" s="11" t="str">
        <f t="shared" si="6"/>
        <v/>
      </c>
      <c r="F390" s="12" t="str">
        <f>IF(COUNTIF(Дела!$A:$A,ROW()-1)&gt;0,VLOOKUP(ROW()-1,Дела!$A:$M,13,0),"")</f>
        <v/>
      </c>
      <c r="G390" s="13" t="str">
        <f>IF(COUNTIF(Дела!$A:$A,ROW()-1)&gt;0,VLOOKUP(ROW()-1,Дела!$A:$N,14,0),"")</f>
        <v/>
      </c>
      <c r="H390" s="11" t="str">
        <f>IF(COUNTIF(Дела!$A:$A,ROW()-1)&gt;0,VLOOKUP(ROW()-1,Дела!$A:$K,11,0),"")</f>
        <v/>
      </c>
    </row>
    <row r="391" spans="1:8" x14ac:dyDescent="0.25">
      <c r="A391" s="11" t="str">
        <f>IF(COUNTIF(Дела!$A:$A,ROW()-1)&gt;0,VLOOKUP(ROW()-1,Дела!$A:$C,3,0),"")</f>
        <v/>
      </c>
      <c r="B391" s="11" t="str">
        <f>IF(COUNTIF(Дела!$A:$A,ROW()-1)&gt;0,VLOOKUP(ROW()-1,Дела!$A:$F,6,0),"")</f>
        <v/>
      </c>
      <c r="C391" s="11" t="str">
        <f>IF(COUNTIF(Дела!$A:$A,ROW()-1)&gt;0,VLOOKUP(ROW()-1,Дела!$A:$G,7,0),"")</f>
        <v/>
      </c>
      <c r="D391" s="11" t="str">
        <f>IF(COUNTIF(Дела!$A:$A,ROW()-1)&gt;0,VLOOKUP(ROW()-1,Дела!$A:$I,9,0),"")</f>
        <v/>
      </c>
      <c r="E391" s="11" t="str">
        <f t="shared" si="6"/>
        <v/>
      </c>
      <c r="F391" s="12" t="str">
        <f>IF(COUNTIF(Дела!$A:$A,ROW()-1)&gt;0,VLOOKUP(ROW()-1,Дела!$A:$M,13,0),"")</f>
        <v/>
      </c>
      <c r="G391" s="13" t="str">
        <f>IF(COUNTIF(Дела!$A:$A,ROW()-1)&gt;0,VLOOKUP(ROW()-1,Дела!$A:$N,14,0),"")</f>
        <v/>
      </c>
      <c r="H391" s="11" t="str">
        <f>IF(COUNTIF(Дела!$A:$A,ROW()-1)&gt;0,VLOOKUP(ROW()-1,Дела!$A:$K,11,0),"")</f>
        <v/>
      </c>
    </row>
    <row r="392" spans="1:8" x14ac:dyDescent="0.25">
      <c r="A392" s="11" t="str">
        <f>IF(COUNTIF(Дела!$A:$A,ROW()-1)&gt;0,VLOOKUP(ROW()-1,Дела!$A:$C,3,0),"")</f>
        <v/>
      </c>
      <c r="B392" s="11" t="str">
        <f>IF(COUNTIF(Дела!$A:$A,ROW()-1)&gt;0,VLOOKUP(ROW()-1,Дела!$A:$F,6,0),"")</f>
        <v/>
      </c>
      <c r="C392" s="11" t="str">
        <f>IF(COUNTIF(Дела!$A:$A,ROW()-1)&gt;0,VLOOKUP(ROW()-1,Дела!$A:$G,7,0),"")</f>
        <v/>
      </c>
      <c r="D392" s="11" t="str">
        <f>IF(COUNTIF(Дела!$A:$A,ROW()-1)&gt;0,VLOOKUP(ROW()-1,Дела!$A:$I,9,0),"")</f>
        <v/>
      </c>
      <c r="E392" s="11" t="str">
        <f t="shared" si="6"/>
        <v/>
      </c>
      <c r="F392" s="12" t="str">
        <f>IF(COUNTIF(Дела!$A:$A,ROW()-1)&gt;0,VLOOKUP(ROW()-1,Дела!$A:$M,13,0),"")</f>
        <v/>
      </c>
      <c r="G392" s="13" t="str">
        <f>IF(COUNTIF(Дела!$A:$A,ROW()-1)&gt;0,VLOOKUP(ROW()-1,Дела!$A:$N,14,0),"")</f>
        <v/>
      </c>
      <c r="H392" s="11" t="str">
        <f>IF(COUNTIF(Дела!$A:$A,ROW()-1)&gt;0,VLOOKUP(ROW()-1,Дела!$A:$K,11,0),"")</f>
        <v/>
      </c>
    </row>
    <row r="393" spans="1:8" x14ac:dyDescent="0.25">
      <c r="A393" s="11" t="str">
        <f>IF(COUNTIF(Дела!$A:$A,ROW()-1)&gt;0,VLOOKUP(ROW()-1,Дела!$A:$C,3,0),"")</f>
        <v/>
      </c>
      <c r="B393" s="11" t="str">
        <f>IF(COUNTIF(Дела!$A:$A,ROW()-1)&gt;0,VLOOKUP(ROW()-1,Дела!$A:$F,6,0),"")</f>
        <v/>
      </c>
      <c r="C393" s="11" t="str">
        <f>IF(COUNTIF(Дела!$A:$A,ROW()-1)&gt;0,VLOOKUP(ROW()-1,Дела!$A:$G,7,0),"")</f>
        <v/>
      </c>
      <c r="D393" s="11" t="str">
        <f>IF(COUNTIF(Дела!$A:$A,ROW()-1)&gt;0,VLOOKUP(ROW()-1,Дела!$A:$I,9,0),"")</f>
        <v/>
      </c>
      <c r="E393" s="11" t="str">
        <f t="shared" si="6"/>
        <v/>
      </c>
      <c r="F393" s="12" t="str">
        <f>IF(COUNTIF(Дела!$A:$A,ROW()-1)&gt;0,VLOOKUP(ROW()-1,Дела!$A:$M,13,0),"")</f>
        <v/>
      </c>
      <c r="G393" s="13" t="str">
        <f>IF(COUNTIF(Дела!$A:$A,ROW()-1)&gt;0,VLOOKUP(ROW()-1,Дела!$A:$N,14,0),"")</f>
        <v/>
      </c>
      <c r="H393" s="11" t="str">
        <f>IF(COUNTIF(Дела!$A:$A,ROW()-1)&gt;0,VLOOKUP(ROW()-1,Дела!$A:$K,11,0),"")</f>
        <v/>
      </c>
    </row>
    <row r="394" spans="1:8" x14ac:dyDescent="0.25">
      <c r="A394" s="11" t="str">
        <f>IF(COUNTIF(Дела!$A:$A,ROW()-1)&gt;0,VLOOKUP(ROW()-1,Дела!$A:$C,3,0),"")</f>
        <v/>
      </c>
      <c r="B394" s="11" t="str">
        <f>IF(COUNTIF(Дела!$A:$A,ROW()-1)&gt;0,VLOOKUP(ROW()-1,Дела!$A:$F,6,0),"")</f>
        <v/>
      </c>
      <c r="C394" s="11" t="str">
        <f>IF(COUNTIF(Дела!$A:$A,ROW()-1)&gt;0,VLOOKUP(ROW()-1,Дела!$A:$G,7,0),"")</f>
        <v/>
      </c>
      <c r="D394" s="11" t="str">
        <f>IF(COUNTIF(Дела!$A:$A,ROW()-1)&gt;0,VLOOKUP(ROW()-1,Дела!$A:$I,9,0),"")</f>
        <v/>
      </c>
      <c r="E394" s="11" t="str">
        <f t="shared" si="6"/>
        <v/>
      </c>
      <c r="F394" s="12" t="str">
        <f>IF(COUNTIF(Дела!$A:$A,ROW()-1)&gt;0,VLOOKUP(ROW()-1,Дела!$A:$M,13,0),"")</f>
        <v/>
      </c>
      <c r="G394" s="13" t="str">
        <f>IF(COUNTIF(Дела!$A:$A,ROW()-1)&gt;0,VLOOKUP(ROW()-1,Дела!$A:$N,14,0),"")</f>
        <v/>
      </c>
      <c r="H394" s="11" t="str">
        <f>IF(COUNTIF(Дела!$A:$A,ROW()-1)&gt;0,VLOOKUP(ROW()-1,Дела!$A:$K,11,0),"")</f>
        <v/>
      </c>
    </row>
    <row r="395" spans="1:8" x14ac:dyDescent="0.25">
      <c r="A395" s="11" t="str">
        <f>IF(COUNTIF(Дела!$A:$A,ROW()-1)&gt;0,VLOOKUP(ROW()-1,Дела!$A:$C,3,0),"")</f>
        <v/>
      </c>
      <c r="B395" s="11" t="str">
        <f>IF(COUNTIF(Дела!$A:$A,ROW()-1)&gt;0,VLOOKUP(ROW()-1,Дела!$A:$F,6,0),"")</f>
        <v/>
      </c>
      <c r="C395" s="11" t="str">
        <f>IF(COUNTIF(Дела!$A:$A,ROW()-1)&gt;0,VLOOKUP(ROW()-1,Дела!$A:$G,7,0),"")</f>
        <v/>
      </c>
      <c r="D395" s="11" t="str">
        <f>IF(COUNTIF(Дела!$A:$A,ROW()-1)&gt;0,VLOOKUP(ROW()-1,Дела!$A:$I,9,0),"")</f>
        <v/>
      </c>
      <c r="E395" s="11" t="str">
        <f t="shared" si="6"/>
        <v/>
      </c>
      <c r="F395" s="12" t="str">
        <f>IF(COUNTIF(Дела!$A:$A,ROW()-1)&gt;0,VLOOKUP(ROW()-1,Дела!$A:$M,13,0),"")</f>
        <v/>
      </c>
      <c r="G395" s="13" t="str">
        <f>IF(COUNTIF(Дела!$A:$A,ROW()-1)&gt;0,VLOOKUP(ROW()-1,Дела!$A:$N,14,0),"")</f>
        <v/>
      </c>
      <c r="H395" s="11" t="str">
        <f>IF(COUNTIF(Дела!$A:$A,ROW()-1)&gt;0,VLOOKUP(ROW()-1,Дела!$A:$K,11,0),"")</f>
        <v/>
      </c>
    </row>
    <row r="396" spans="1:8" x14ac:dyDescent="0.25">
      <c r="A396" s="11" t="str">
        <f>IF(COUNTIF(Дела!$A:$A,ROW()-1)&gt;0,VLOOKUP(ROW()-1,Дела!$A:$C,3,0),"")</f>
        <v/>
      </c>
      <c r="B396" s="11" t="str">
        <f>IF(COUNTIF(Дела!$A:$A,ROW()-1)&gt;0,VLOOKUP(ROW()-1,Дела!$A:$F,6,0),"")</f>
        <v/>
      </c>
      <c r="C396" s="11" t="str">
        <f>IF(COUNTIF(Дела!$A:$A,ROW()-1)&gt;0,VLOOKUP(ROW()-1,Дела!$A:$G,7,0),"")</f>
        <v/>
      </c>
      <c r="D396" s="11" t="str">
        <f>IF(COUNTIF(Дела!$A:$A,ROW()-1)&gt;0,VLOOKUP(ROW()-1,Дела!$A:$I,9,0),"")</f>
        <v/>
      </c>
      <c r="E396" s="11" t="str">
        <f t="shared" si="6"/>
        <v/>
      </c>
      <c r="F396" s="12" t="str">
        <f>IF(COUNTIF(Дела!$A:$A,ROW()-1)&gt;0,VLOOKUP(ROW()-1,Дела!$A:$M,13,0),"")</f>
        <v/>
      </c>
      <c r="G396" s="13" t="str">
        <f>IF(COUNTIF(Дела!$A:$A,ROW()-1)&gt;0,VLOOKUP(ROW()-1,Дела!$A:$N,14,0),"")</f>
        <v/>
      </c>
      <c r="H396" s="11" t="str">
        <f>IF(COUNTIF(Дела!$A:$A,ROW()-1)&gt;0,VLOOKUP(ROW()-1,Дела!$A:$K,11,0),"")</f>
        <v/>
      </c>
    </row>
    <row r="397" spans="1:8" x14ac:dyDescent="0.25">
      <c r="A397" s="11" t="str">
        <f>IF(COUNTIF(Дела!$A:$A,ROW()-1)&gt;0,VLOOKUP(ROW()-1,Дела!$A:$C,3,0),"")</f>
        <v/>
      </c>
      <c r="B397" s="11" t="str">
        <f>IF(COUNTIF(Дела!$A:$A,ROW()-1)&gt;0,VLOOKUP(ROW()-1,Дела!$A:$F,6,0),"")</f>
        <v/>
      </c>
      <c r="C397" s="11" t="str">
        <f>IF(COUNTIF(Дела!$A:$A,ROW()-1)&gt;0,VLOOKUP(ROW()-1,Дела!$A:$G,7,0),"")</f>
        <v/>
      </c>
      <c r="D397" s="11" t="str">
        <f>IF(COUNTIF(Дела!$A:$A,ROW()-1)&gt;0,VLOOKUP(ROW()-1,Дела!$A:$I,9,0),"")</f>
        <v/>
      </c>
      <c r="E397" s="11" t="str">
        <f t="shared" si="6"/>
        <v/>
      </c>
      <c r="F397" s="12" t="str">
        <f>IF(COUNTIF(Дела!$A:$A,ROW()-1)&gt;0,VLOOKUP(ROW()-1,Дела!$A:$M,13,0),"")</f>
        <v/>
      </c>
      <c r="G397" s="13" t="str">
        <f>IF(COUNTIF(Дела!$A:$A,ROW()-1)&gt;0,VLOOKUP(ROW()-1,Дела!$A:$N,14,0),"")</f>
        <v/>
      </c>
      <c r="H397" s="11" t="str">
        <f>IF(COUNTIF(Дела!$A:$A,ROW()-1)&gt;0,VLOOKUP(ROW()-1,Дела!$A:$K,11,0),"")</f>
        <v/>
      </c>
    </row>
    <row r="398" spans="1:8" x14ac:dyDescent="0.25">
      <c r="A398" s="11" t="str">
        <f>IF(COUNTIF(Дела!$A:$A,ROW()-1)&gt;0,VLOOKUP(ROW()-1,Дела!$A:$C,3,0),"")</f>
        <v/>
      </c>
      <c r="B398" s="11" t="str">
        <f>IF(COUNTIF(Дела!$A:$A,ROW()-1)&gt;0,VLOOKUP(ROW()-1,Дела!$A:$F,6,0),"")</f>
        <v/>
      </c>
      <c r="C398" s="11" t="str">
        <f>IF(COUNTIF(Дела!$A:$A,ROW()-1)&gt;0,VLOOKUP(ROW()-1,Дела!$A:$G,7,0),"")</f>
        <v/>
      </c>
      <c r="D398" s="11" t="str">
        <f>IF(COUNTIF(Дела!$A:$A,ROW()-1)&gt;0,VLOOKUP(ROW()-1,Дела!$A:$I,9,0),"")</f>
        <v/>
      </c>
      <c r="E398" s="11" t="str">
        <f t="shared" si="6"/>
        <v/>
      </c>
      <c r="F398" s="12" t="str">
        <f>IF(COUNTIF(Дела!$A:$A,ROW()-1)&gt;0,VLOOKUP(ROW()-1,Дела!$A:$M,13,0),"")</f>
        <v/>
      </c>
      <c r="G398" s="13" t="str">
        <f>IF(COUNTIF(Дела!$A:$A,ROW()-1)&gt;0,VLOOKUP(ROW()-1,Дела!$A:$N,14,0),"")</f>
        <v/>
      </c>
      <c r="H398" s="11" t="str">
        <f>IF(COUNTIF(Дела!$A:$A,ROW()-1)&gt;0,VLOOKUP(ROW()-1,Дела!$A:$K,11,0),"")</f>
        <v/>
      </c>
    </row>
    <row r="399" spans="1:8" x14ac:dyDescent="0.25">
      <c r="A399" s="11" t="str">
        <f>IF(COUNTIF(Дела!$A:$A,ROW()-1)&gt;0,VLOOKUP(ROW()-1,Дела!$A:$C,3,0),"")</f>
        <v/>
      </c>
      <c r="B399" s="11" t="str">
        <f>IF(COUNTIF(Дела!$A:$A,ROW()-1)&gt;0,VLOOKUP(ROW()-1,Дела!$A:$F,6,0),"")</f>
        <v/>
      </c>
      <c r="C399" s="11" t="str">
        <f>IF(COUNTIF(Дела!$A:$A,ROW()-1)&gt;0,VLOOKUP(ROW()-1,Дела!$A:$G,7,0),"")</f>
        <v/>
      </c>
      <c r="D399" s="11" t="str">
        <f>IF(COUNTIF(Дела!$A:$A,ROW()-1)&gt;0,VLOOKUP(ROW()-1,Дела!$A:$I,9,0),"")</f>
        <v/>
      </c>
      <c r="E399" s="11" t="str">
        <f t="shared" si="6"/>
        <v/>
      </c>
      <c r="F399" s="12" t="str">
        <f>IF(COUNTIF(Дела!$A:$A,ROW()-1)&gt;0,VLOOKUP(ROW()-1,Дела!$A:$M,13,0),"")</f>
        <v/>
      </c>
      <c r="G399" s="13" t="str">
        <f>IF(COUNTIF(Дела!$A:$A,ROW()-1)&gt;0,VLOOKUP(ROW()-1,Дела!$A:$N,14,0),"")</f>
        <v/>
      </c>
      <c r="H399" s="11" t="str">
        <f>IF(COUNTIF(Дела!$A:$A,ROW()-1)&gt;0,VLOOKUP(ROW()-1,Дела!$A:$K,11,0),"")</f>
        <v/>
      </c>
    </row>
    <row r="400" spans="1:8" x14ac:dyDescent="0.25">
      <c r="A400" s="11" t="str">
        <f>IF(COUNTIF(Дела!$A:$A,ROW()-1)&gt;0,VLOOKUP(ROW()-1,Дела!$A:$C,3,0),"")</f>
        <v/>
      </c>
      <c r="B400" s="11" t="str">
        <f>IF(COUNTIF(Дела!$A:$A,ROW()-1)&gt;0,VLOOKUP(ROW()-1,Дела!$A:$F,6,0),"")</f>
        <v/>
      </c>
      <c r="C400" s="11" t="str">
        <f>IF(COUNTIF(Дела!$A:$A,ROW()-1)&gt;0,VLOOKUP(ROW()-1,Дела!$A:$G,7,0),"")</f>
        <v/>
      </c>
      <c r="D400" s="11" t="str">
        <f>IF(COUNTIF(Дела!$A:$A,ROW()-1)&gt;0,VLOOKUP(ROW()-1,Дела!$A:$I,9,0),"")</f>
        <v/>
      </c>
      <c r="E400" s="11" t="str">
        <f t="shared" si="6"/>
        <v/>
      </c>
      <c r="F400" s="12" t="str">
        <f>IF(COUNTIF(Дела!$A:$A,ROW()-1)&gt;0,VLOOKUP(ROW()-1,Дела!$A:$M,13,0),"")</f>
        <v/>
      </c>
      <c r="G400" s="13" t="str">
        <f>IF(COUNTIF(Дела!$A:$A,ROW()-1)&gt;0,VLOOKUP(ROW()-1,Дела!$A:$N,14,0),"")</f>
        <v/>
      </c>
      <c r="H400" s="11" t="str">
        <f>IF(COUNTIF(Дела!$A:$A,ROW()-1)&gt;0,VLOOKUP(ROW()-1,Дела!$A:$K,11,0),"")</f>
        <v/>
      </c>
    </row>
    <row r="401" spans="1:8" x14ac:dyDescent="0.25">
      <c r="A401" s="11" t="str">
        <f>IF(COUNTIF(Дела!$A:$A,ROW()-1)&gt;0,VLOOKUP(ROW()-1,Дела!$A:$C,3,0),"")</f>
        <v/>
      </c>
      <c r="B401" s="11" t="str">
        <f>IF(COUNTIF(Дела!$A:$A,ROW()-1)&gt;0,VLOOKUP(ROW()-1,Дела!$A:$F,6,0),"")</f>
        <v/>
      </c>
      <c r="C401" s="11" t="str">
        <f>IF(COUNTIF(Дела!$A:$A,ROW()-1)&gt;0,VLOOKUP(ROW()-1,Дела!$A:$G,7,0),"")</f>
        <v/>
      </c>
      <c r="D401" s="11" t="str">
        <f>IF(COUNTIF(Дела!$A:$A,ROW()-1)&gt;0,VLOOKUP(ROW()-1,Дела!$A:$I,9,0),"")</f>
        <v/>
      </c>
      <c r="E401" s="11" t="str">
        <f t="shared" si="6"/>
        <v/>
      </c>
      <c r="F401" s="12" t="str">
        <f>IF(COUNTIF(Дела!$A:$A,ROW()-1)&gt;0,VLOOKUP(ROW()-1,Дела!$A:$M,13,0),"")</f>
        <v/>
      </c>
      <c r="G401" s="13" t="str">
        <f>IF(COUNTIF(Дела!$A:$A,ROW()-1)&gt;0,VLOOKUP(ROW()-1,Дела!$A:$N,14,0),"")</f>
        <v/>
      </c>
      <c r="H401" s="11" t="str">
        <f>IF(COUNTIF(Дела!$A:$A,ROW()-1)&gt;0,VLOOKUP(ROW()-1,Дела!$A:$K,11,0),"")</f>
        <v/>
      </c>
    </row>
    <row r="402" spans="1:8" x14ac:dyDescent="0.25">
      <c r="A402" s="11" t="str">
        <f>IF(COUNTIF(Дела!$A:$A,ROW()-1)&gt;0,VLOOKUP(ROW()-1,Дела!$A:$C,3,0),"")</f>
        <v/>
      </c>
      <c r="B402" s="11" t="str">
        <f>IF(COUNTIF(Дела!$A:$A,ROW()-1)&gt;0,VLOOKUP(ROW()-1,Дела!$A:$F,6,0),"")</f>
        <v/>
      </c>
      <c r="C402" s="11" t="str">
        <f>IF(COUNTIF(Дела!$A:$A,ROW()-1)&gt;0,VLOOKUP(ROW()-1,Дела!$A:$G,7,0),"")</f>
        <v/>
      </c>
      <c r="D402" s="11" t="str">
        <f>IF(COUNTIF(Дела!$A:$A,ROW()-1)&gt;0,VLOOKUP(ROW()-1,Дела!$A:$I,9,0),"")</f>
        <v/>
      </c>
      <c r="E402" s="11" t="str">
        <f t="shared" si="6"/>
        <v/>
      </c>
      <c r="F402" s="12" t="str">
        <f>IF(COUNTIF(Дела!$A:$A,ROW()-1)&gt;0,VLOOKUP(ROW()-1,Дела!$A:$M,13,0),"")</f>
        <v/>
      </c>
      <c r="G402" s="13" t="str">
        <f>IF(COUNTIF(Дела!$A:$A,ROW()-1)&gt;0,VLOOKUP(ROW()-1,Дела!$A:$N,14,0),"")</f>
        <v/>
      </c>
      <c r="H402" s="11" t="str">
        <f>IF(COUNTIF(Дела!$A:$A,ROW()-1)&gt;0,VLOOKUP(ROW()-1,Дела!$A:$K,11,0),"")</f>
        <v/>
      </c>
    </row>
    <row r="403" spans="1:8" x14ac:dyDescent="0.25">
      <c r="A403" s="11" t="str">
        <f>IF(COUNTIF(Дела!$A:$A,ROW()-1)&gt;0,VLOOKUP(ROW()-1,Дела!$A:$C,3,0),"")</f>
        <v/>
      </c>
      <c r="B403" s="11" t="str">
        <f>IF(COUNTIF(Дела!$A:$A,ROW()-1)&gt;0,VLOOKUP(ROW()-1,Дела!$A:$F,6,0),"")</f>
        <v/>
      </c>
      <c r="C403" s="11" t="str">
        <f>IF(COUNTIF(Дела!$A:$A,ROW()-1)&gt;0,VLOOKUP(ROW()-1,Дела!$A:$G,7,0),"")</f>
        <v/>
      </c>
      <c r="D403" s="11" t="str">
        <f>IF(COUNTIF(Дела!$A:$A,ROW()-1)&gt;0,VLOOKUP(ROW()-1,Дела!$A:$I,9,0),"")</f>
        <v/>
      </c>
      <c r="E403" s="11" t="str">
        <f t="shared" si="6"/>
        <v/>
      </c>
      <c r="F403" s="12" t="str">
        <f>IF(COUNTIF(Дела!$A:$A,ROW()-1)&gt;0,VLOOKUP(ROW()-1,Дела!$A:$M,13,0),"")</f>
        <v/>
      </c>
      <c r="G403" s="13" t="str">
        <f>IF(COUNTIF(Дела!$A:$A,ROW()-1)&gt;0,VLOOKUP(ROW()-1,Дела!$A:$N,14,0),"")</f>
        <v/>
      </c>
      <c r="H403" s="11" t="str">
        <f>IF(COUNTIF(Дела!$A:$A,ROW()-1)&gt;0,VLOOKUP(ROW()-1,Дела!$A:$K,11,0),"")</f>
        <v/>
      </c>
    </row>
    <row r="404" spans="1:8" x14ac:dyDescent="0.25">
      <c r="A404" s="11" t="str">
        <f>IF(COUNTIF(Дела!$A:$A,ROW()-1)&gt;0,VLOOKUP(ROW()-1,Дела!$A:$C,3,0),"")</f>
        <v/>
      </c>
      <c r="B404" s="11" t="str">
        <f>IF(COUNTIF(Дела!$A:$A,ROW()-1)&gt;0,VLOOKUP(ROW()-1,Дела!$A:$F,6,0),"")</f>
        <v/>
      </c>
      <c r="C404" s="11" t="str">
        <f>IF(COUNTIF(Дела!$A:$A,ROW()-1)&gt;0,VLOOKUP(ROW()-1,Дела!$A:$G,7,0),"")</f>
        <v/>
      </c>
      <c r="D404" s="11" t="str">
        <f>IF(COUNTIF(Дела!$A:$A,ROW()-1)&gt;0,VLOOKUP(ROW()-1,Дела!$A:$I,9,0),"")</f>
        <v/>
      </c>
      <c r="E404" s="11" t="str">
        <f t="shared" si="6"/>
        <v/>
      </c>
      <c r="F404" s="12" t="str">
        <f>IF(COUNTIF(Дела!$A:$A,ROW()-1)&gt;0,VLOOKUP(ROW()-1,Дела!$A:$M,13,0),"")</f>
        <v/>
      </c>
      <c r="G404" s="13" t="str">
        <f>IF(COUNTIF(Дела!$A:$A,ROW()-1)&gt;0,VLOOKUP(ROW()-1,Дела!$A:$N,14,0),"")</f>
        <v/>
      </c>
      <c r="H404" s="11" t="str">
        <f>IF(COUNTIF(Дела!$A:$A,ROW()-1)&gt;0,VLOOKUP(ROW()-1,Дела!$A:$K,11,0),"")</f>
        <v/>
      </c>
    </row>
    <row r="405" spans="1:8" x14ac:dyDescent="0.25">
      <c r="A405" s="11" t="str">
        <f>IF(COUNTIF(Дела!$A:$A,ROW()-1)&gt;0,VLOOKUP(ROW()-1,Дела!$A:$C,3,0),"")</f>
        <v/>
      </c>
      <c r="B405" s="11" t="str">
        <f>IF(COUNTIF(Дела!$A:$A,ROW()-1)&gt;0,VLOOKUP(ROW()-1,Дела!$A:$F,6,0),"")</f>
        <v/>
      </c>
      <c r="C405" s="11" t="str">
        <f>IF(COUNTIF(Дела!$A:$A,ROW()-1)&gt;0,VLOOKUP(ROW()-1,Дела!$A:$G,7,0),"")</f>
        <v/>
      </c>
      <c r="D405" s="11" t="str">
        <f>IF(COUNTIF(Дела!$A:$A,ROW()-1)&gt;0,VLOOKUP(ROW()-1,Дела!$A:$I,9,0),"")</f>
        <v/>
      </c>
      <c r="E405" s="11" t="str">
        <f t="shared" si="6"/>
        <v/>
      </c>
      <c r="F405" s="12" t="str">
        <f>IF(COUNTIF(Дела!$A:$A,ROW()-1)&gt;0,VLOOKUP(ROW()-1,Дела!$A:$M,13,0),"")</f>
        <v/>
      </c>
      <c r="G405" s="13" t="str">
        <f>IF(COUNTIF(Дела!$A:$A,ROW()-1)&gt;0,VLOOKUP(ROW()-1,Дела!$A:$N,14,0),"")</f>
        <v/>
      </c>
      <c r="H405" s="11" t="str">
        <f>IF(COUNTIF(Дела!$A:$A,ROW()-1)&gt;0,VLOOKUP(ROW()-1,Дела!$A:$K,11,0),"")</f>
        <v/>
      </c>
    </row>
    <row r="406" spans="1:8" x14ac:dyDescent="0.25">
      <c r="A406" s="11" t="str">
        <f>IF(COUNTIF(Дела!$A:$A,ROW()-1)&gt;0,VLOOKUP(ROW()-1,Дела!$A:$C,3,0),"")</f>
        <v/>
      </c>
      <c r="B406" s="11" t="str">
        <f>IF(COUNTIF(Дела!$A:$A,ROW()-1)&gt;0,VLOOKUP(ROW()-1,Дела!$A:$F,6,0),"")</f>
        <v/>
      </c>
      <c r="C406" s="11" t="str">
        <f>IF(COUNTIF(Дела!$A:$A,ROW()-1)&gt;0,VLOOKUP(ROW()-1,Дела!$A:$G,7,0),"")</f>
        <v/>
      </c>
      <c r="D406" s="11" t="str">
        <f>IF(COUNTIF(Дела!$A:$A,ROW()-1)&gt;0,VLOOKUP(ROW()-1,Дела!$A:$I,9,0),"")</f>
        <v/>
      </c>
      <c r="E406" s="11" t="str">
        <f t="shared" si="6"/>
        <v/>
      </c>
      <c r="F406" s="12" t="str">
        <f>IF(COUNTIF(Дела!$A:$A,ROW()-1)&gt;0,VLOOKUP(ROW()-1,Дела!$A:$M,13,0),"")</f>
        <v/>
      </c>
      <c r="G406" s="13" t="str">
        <f>IF(COUNTIF(Дела!$A:$A,ROW()-1)&gt;0,VLOOKUP(ROW()-1,Дела!$A:$N,14,0),"")</f>
        <v/>
      </c>
      <c r="H406" s="11" t="str">
        <f>IF(COUNTIF(Дела!$A:$A,ROW()-1)&gt;0,VLOOKUP(ROW()-1,Дела!$A:$K,11,0),"")</f>
        <v/>
      </c>
    </row>
    <row r="407" spans="1:8" x14ac:dyDescent="0.25">
      <c r="A407" s="11" t="str">
        <f>IF(COUNTIF(Дела!$A:$A,ROW()-1)&gt;0,VLOOKUP(ROW()-1,Дела!$A:$C,3,0),"")</f>
        <v/>
      </c>
      <c r="B407" s="11" t="str">
        <f>IF(COUNTIF(Дела!$A:$A,ROW()-1)&gt;0,VLOOKUP(ROW()-1,Дела!$A:$F,6,0),"")</f>
        <v/>
      </c>
      <c r="C407" s="11" t="str">
        <f>IF(COUNTIF(Дела!$A:$A,ROW()-1)&gt;0,VLOOKUP(ROW()-1,Дела!$A:$G,7,0),"")</f>
        <v/>
      </c>
      <c r="D407" s="11" t="str">
        <f>IF(COUNTIF(Дела!$A:$A,ROW()-1)&gt;0,VLOOKUP(ROW()-1,Дела!$A:$I,9,0),"")</f>
        <v/>
      </c>
      <c r="E407" s="11" t="str">
        <f t="shared" si="6"/>
        <v/>
      </c>
      <c r="F407" s="12" t="str">
        <f>IF(COUNTIF(Дела!$A:$A,ROW()-1)&gt;0,VLOOKUP(ROW()-1,Дела!$A:$M,13,0),"")</f>
        <v/>
      </c>
      <c r="G407" s="13" t="str">
        <f>IF(COUNTIF(Дела!$A:$A,ROW()-1)&gt;0,VLOOKUP(ROW()-1,Дела!$A:$N,14,0),"")</f>
        <v/>
      </c>
      <c r="H407" s="11" t="str">
        <f>IF(COUNTIF(Дела!$A:$A,ROW()-1)&gt;0,VLOOKUP(ROW()-1,Дела!$A:$K,11,0),"")</f>
        <v/>
      </c>
    </row>
    <row r="408" spans="1:8" x14ac:dyDescent="0.25">
      <c r="A408" s="11" t="str">
        <f>IF(COUNTIF(Дела!$A:$A,ROW()-1)&gt;0,VLOOKUP(ROW()-1,Дела!$A:$C,3,0),"")</f>
        <v/>
      </c>
      <c r="B408" s="11" t="str">
        <f>IF(COUNTIF(Дела!$A:$A,ROW()-1)&gt;0,VLOOKUP(ROW()-1,Дела!$A:$F,6,0),"")</f>
        <v/>
      </c>
      <c r="C408" s="11" t="str">
        <f>IF(COUNTIF(Дела!$A:$A,ROW()-1)&gt;0,VLOOKUP(ROW()-1,Дела!$A:$G,7,0),"")</f>
        <v/>
      </c>
      <c r="D408" s="11" t="str">
        <f>IF(COUNTIF(Дела!$A:$A,ROW()-1)&gt;0,VLOOKUP(ROW()-1,Дела!$A:$I,9,0),"")</f>
        <v/>
      </c>
      <c r="E408" s="11" t="str">
        <f t="shared" si="6"/>
        <v/>
      </c>
      <c r="F408" s="12" t="str">
        <f>IF(COUNTIF(Дела!$A:$A,ROW()-1)&gt;0,VLOOKUP(ROW()-1,Дела!$A:$M,13,0),"")</f>
        <v/>
      </c>
      <c r="G408" s="13" t="str">
        <f>IF(COUNTIF(Дела!$A:$A,ROW()-1)&gt;0,VLOOKUP(ROW()-1,Дела!$A:$N,14,0),"")</f>
        <v/>
      </c>
      <c r="H408" s="11" t="str">
        <f>IF(COUNTIF(Дела!$A:$A,ROW()-1)&gt;0,VLOOKUP(ROW()-1,Дела!$A:$K,11,0),"")</f>
        <v/>
      </c>
    </row>
    <row r="409" spans="1:8" x14ac:dyDescent="0.25">
      <c r="A409" s="11" t="str">
        <f>IF(COUNTIF(Дела!$A:$A,ROW()-1)&gt;0,VLOOKUP(ROW()-1,Дела!$A:$C,3,0),"")</f>
        <v/>
      </c>
      <c r="B409" s="11" t="str">
        <f>IF(COUNTIF(Дела!$A:$A,ROW()-1)&gt;0,VLOOKUP(ROW()-1,Дела!$A:$F,6,0),"")</f>
        <v/>
      </c>
      <c r="C409" s="11" t="str">
        <f>IF(COUNTIF(Дела!$A:$A,ROW()-1)&gt;0,VLOOKUP(ROW()-1,Дела!$A:$G,7,0),"")</f>
        <v/>
      </c>
      <c r="D409" s="11" t="str">
        <f>IF(COUNTIF(Дела!$A:$A,ROW()-1)&gt;0,VLOOKUP(ROW()-1,Дела!$A:$I,9,0),"")</f>
        <v/>
      </c>
      <c r="E409" s="11" t="str">
        <f t="shared" si="6"/>
        <v/>
      </c>
      <c r="F409" s="12" t="str">
        <f>IF(COUNTIF(Дела!$A:$A,ROW()-1)&gt;0,VLOOKUP(ROW()-1,Дела!$A:$M,13,0),"")</f>
        <v/>
      </c>
      <c r="G409" s="13" t="str">
        <f>IF(COUNTIF(Дела!$A:$A,ROW()-1)&gt;0,VLOOKUP(ROW()-1,Дела!$A:$N,14,0),"")</f>
        <v/>
      </c>
      <c r="H409" s="11" t="str">
        <f>IF(COUNTIF(Дела!$A:$A,ROW()-1)&gt;0,VLOOKUP(ROW()-1,Дела!$A:$K,11,0),"")</f>
        <v/>
      </c>
    </row>
    <row r="410" spans="1:8" x14ac:dyDescent="0.25">
      <c r="A410" s="11" t="str">
        <f>IF(COUNTIF(Дела!$A:$A,ROW()-1)&gt;0,VLOOKUP(ROW()-1,Дела!$A:$C,3,0),"")</f>
        <v/>
      </c>
      <c r="B410" s="11" t="str">
        <f>IF(COUNTIF(Дела!$A:$A,ROW()-1)&gt;0,VLOOKUP(ROW()-1,Дела!$A:$F,6,0),"")</f>
        <v/>
      </c>
      <c r="C410" s="11" t="str">
        <f>IF(COUNTIF(Дела!$A:$A,ROW()-1)&gt;0,VLOOKUP(ROW()-1,Дела!$A:$G,7,0),"")</f>
        <v/>
      </c>
      <c r="D410" s="11" t="str">
        <f>IF(COUNTIF(Дела!$A:$A,ROW()-1)&gt;0,VLOOKUP(ROW()-1,Дела!$A:$I,9,0),"")</f>
        <v/>
      </c>
      <c r="E410" s="11" t="str">
        <f t="shared" si="6"/>
        <v/>
      </c>
      <c r="F410" s="12" t="str">
        <f>IF(COUNTIF(Дела!$A:$A,ROW()-1)&gt;0,VLOOKUP(ROW()-1,Дела!$A:$M,13,0),"")</f>
        <v/>
      </c>
      <c r="G410" s="13" t="str">
        <f>IF(COUNTIF(Дела!$A:$A,ROW()-1)&gt;0,VLOOKUP(ROW()-1,Дела!$A:$N,14,0),"")</f>
        <v/>
      </c>
      <c r="H410" s="11" t="str">
        <f>IF(COUNTIF(Дела!$A:$A,ROW()-1)&gt;0,VLOOKUP(ROW()-1,Дела!$A:$K,11,0),"")</f>
        <v/>
      </c>
    </row>
    <row r="411" spans="1:8" x14ac:dyDescent="0.25">
      <c r="A411" s="11" t="str">
        <f>IF(COUNTIF(Дела!$A:$A,ROW()-1)&gt;0,VLOOKUP(ROW()-1,Дела!$A:$C,3,0),"")</f>
        <v/>
      </c>
      <c r="B411" s="11" t="str">
        <f>IF(COUNTIF(Дела!$A:$A,ROW()-1)&gt;0,VLOOKUP(ROW()-1,Дела!$A:$F,6,0),"")</f>
        <v/>
      </c>
      <c r="C411" s="11" t="str">
        <f>IF(COUNTIF(Дела!$A:$A,ROW()-1)&gt;0,VLOOKUP(ROW()-1,Дела!$A:$G,7,0),"")</f>
        <v/>
      </c>
      <c r="D411" s="11" t="str">
        <f>IF(COUNTIF(Дела!$A:$A,ROW()-1)&gt;0,VLOOKUP(ROW()-1,Дела!$A:$I,9,0),"")</f>
        <v/>
      </c>
      <c r="E411" s="11" t="str">
        <f t="shared" si="6"/>
        <v/>
      </c>
      <c r="F411" s="12" t="str">
        <f>IF(COUNTIF(Дела!$A:$A,ROW()-1)&gt;0,VLOOKUP(ROW()-1,Дела!$A:$M,13,0),"")</f>
        <v/>
      </c>
      <c r="G411" s="13" t="str">
        <f>IF(COUNTIF(Дела!$A:$A,ROW()-1)&gt;0,VLOOKUP(ROW()-1,Дела!$A:$N,14,0),"")</f>
        <v/>
      </c>
      <c r="H411" s="11" t="str">
        <f>IF(COUNTIF(Дела!$A:$A,ROW()-1)&gt;0,VLOOKUP(ROW()-1,Дела!$A:$K,11,0),"")</f>
        <v/>
      </c>
    </row>
    <row r="412" spans="1:8" x14ac:dyDescent="0.25">
      <c r="A412" s="11" t="str">
        <f>IF(COUNTIF(Дела!$A:$A,ROW()-1)&gt;0,VLOOKUP(ROW()-1,Дела!$A:$C,3,0),"")</f>
        <v/>
      </c>
      <c r="B412" s="11" t="str">
        <f>IF(COUNTIF(Дела!$A:$A,ROW()-1)&gt;0,VLOOKUP(ROW()-1,Дела!$A:$F,6,0),"")</f>
        <v/>
      </c>
      <c r="C412" s="11" t="str">
        <f>IF(COUNTIF(Дела!$A:$A,ROW()-1)&gt;0,VLOOKUP(ROW()-1,Дела!$A:$G,7,0),"")</f>
        <v/>
      </c>
      <c r="D412" s="11" t="str">
        <f>IF(COUNTIF(Дела!$A:$A,ROW()-1)&gt;0,VLOOKUP(ROW()-1,Дела!$A:$I,9,0),"")</f>
        <v/>
      </c>
      <c r="E412" s="11" t="str">
        <f t="shared" si="6"/>
        <v/>
      </c>
      <c r="F412" s="12" t="str">
        <f>IF(COUNTIF(Дела!$A:$A,ROW()-1)&gt;0,VLOOKUP(ROW()-1,Дела!$A:$M,13,0),"")</f>
        <v/>
      </c>
      <c r="G412" s="13" t="str">
        <f>IF(COUNTIF(Дела!$A:$A,ROW()-1)&gt;0,VLOOKUP(ROW()-1,Дела!$A:$N,14,0),"")</f>
        <v/>
      </c>
      <c r="H412" s="11" t="str">
        <f>IF(COUNTIF(Дела!$A:$A,ROW()-1)&gt;0,VLOOKUP(ROW()-1,Дела!$A:$K,11,0),"")</f>
        <v/>
      </c>
    </row>
    <row r="413" spans="1:8" x14ac:dyDescent="0.25">
      <c r="A413" s="11" t="str">
        <f>IF(COUNTIF(Дела!$A:$A,ROW()-1)&gt;0,VLOOKUP(ROW()-1,Дела!$A:$C,3,0),"")</f>
        <v/>
      </c>
      <c r="B413" s="11" t="str">
        <f>IF(COUNTIF(Дела!$A:$A,ROW()-1)&gt;0,VLOOKUP(ROW()-1,Дела!$A:$F,6,0),"")</f>
        <v/>
      </c>
      <c r="C413" s="11" t="str">
        <f>IF(COUNTIF(Дела!$A:$A,ROW()-1)&gt;0,VLOOKUP(ROW()-1,Дела!$A:$G,7,0),"")</f>
        <v/>
      </c>
      <c r="D413" s="11" t="str">
        <f>IF(COUNTIF(Дела!$A:$A,ROW()-1)&gt;0,VLOOKUP(ROW()-1,Дела!$A:$I,9,0),"")</f>
        <v/>
      </c>
      <c r="E413" s="11" t="str">
        <f t="shared" si="6"/>
        <v/>
      </c>
      <c r="F413" s="12" t="str">
        <f>IF(COUNTIF(Дела!$A:$A,ROW()-1)&gt;0,VLOOKUP(ROW()-1,Дела!$A:$M,13,0),"")</f>
        <v/>
      </c>
      <c r="G413" s="13" t="str">
        <f>IF(COUNTIF(Дела!$A:$A,ROW()-1)&gt;0,VLOOKUP(ROW()-1,Дела!$A:$N,14,0),"")</f>
        <v/>
      </c>
      <c r="H413" s="11" t="str">
        <f>IF(COUNTIF(Дела!$A:$A,ROW()-1)&gt;0,VLOOKUP(ROW()-1,Дела!$A:$K,11,0),"")</f>
        <v/>
      </c>
    </row>
    <row r="414" spans="1:8" x14ac:dyDescent="0.25">
      <c r="A414" s="11" t="str">
        <f>IF(COUNTIF(Дела!$A:$A,ROW()-1)&gt;0,VLOOKUP(ROW()-1,Дела!$A:$C,3,0),"")</f>
        <v/>
      </c>
      <c r="B414" s="11" t="str">
        <f>IF(COUNTIF(Дела!$A:$A,ROW()-1)&gt;0,VLOOKUP(ROW()-1,Дела!$A:$F,6,0),"")</f>
        <v/>
      </c>
      <c r="C414" s="11" t="str">
        <f>IF(COUNTIF(Дела!$A:$A,ROW()-1)&gt;0,VLOOKUP(ROW()-1,Дела!$A:$G,7,0),"")</f>
        <v/>
      </c>
      <c r="D414" s="11" t="str">
        <f>IF(COUNTIF(Дела!$A:$A,ROW()-1)&gt;0,VLOOKUP(ROW()-1,Дела!$A:$I,9,0),"")</f>
        <v/>
      </c>
      <c r="E414" s="11" t="str">
        <f t="shared" si="6"/>
        <v/>
      </c>
      <c r="F414" s="12" t="str">
        <f>IF(COUNTIF(Дела!$A:$A,ROW()-1)&gt;0,VLOOKUP(ROW()-1,Дела!$A:$M,13,0),"")</f>
        <v/>
      </c>
      <c r="G414" s="13" t="str">
        <f>IF(COUNTIF(Дела!$A:$A,ROW()-1)&gt;0,VLOOKUP(ROW()-1,Дела!$A:$N,14,0),"")</f>
        <v/>
      </c>
      <c r="H414" s="11" t="str">
        <f>IF(COUNTIF(Дела!$A:$A,ROW()-1)&gt;0,VLOOKUP(ROW()-1,Дела!$A:$K,11,0),"")</f>
        <v/>
      </c>
    </row>
    <row r="415" spans="1:8" x14ac:dyDescent="0.25">
      <c r="A415" s="11" t="str">
        <f>IF(COUNTIF(Дела!$A:$A,ROW()-1)&gt;0,VLOOKUP(ROW()-1,Дела!$A:$C,3,0),"")</f>
        <v/>
      </c>
      <c r="B415" s="11" t="str">
        <f>IF(COUNTIF(Дела!$A:$A,ROW()-1)&gt;0,VLOOKUP(ROW()-1,Дела!$A:$F,6,0),"")</f>
        <v/>
      </c>
      <c r="C415" s="11" t="str">
        <f>IF(COUNTIF(Дела!$A:$A,ROW()-1)&gt;0,VLOOKUP(ROW()-1,Дела!$A:$G,7,0),"")</f>
        <v/>
      </c>
      <c r="D415" s="11" t="str">
        <f>IF(COUNTIF(Дела!$A:$A,ROW()-1)&gt;0,VLOOKUP(ROW()-1,Дела!$A:$I,9,0),"")</f>
        <v/>
      </c>
      <c r="E415" s="11" t="str">
        <f t="shared" si="6"/>
        <v/>
      </c>
      <c r="F415" s="12" t="str">
        <f>IF(COUNTIF(Дела!$A:$A,ROW()-1)&gt;0,VLOOKUP(ROW()-1,Дела!$A:$M,13,0),"")</f>
        <v/>
      </c>
      <c r="G415" s="13" t="str">
        <f>IF(COUNTIF(Дела!$A:$A,ROW()-1)&gt;0,VLOOKUP(ROW()-1,Дела!$A:$N,14,0),"")</f>
        <v/>
      </c>
      <c r="H415" s="11" t="str">
        <f>IF(COUNTIF(Дела!$A:$A,ROW()-1)&gt;0,VLOOKUP(ROW()-1,Дела!$A:$K,11,0),"")</f>
        <v/>
      </c>
    </row>
    <row r="416" spans="1:8" x14ac:dyDescent="0.25">
      <c r="A416" s="11" t="str">
        <f>IF(COUNTIF(Дела!$A:$A,ROW()-1)&gt;0,VLOOKUP(ROW()-1,Дела!$A:$C,3,0),"")</f>
        <v/>
      </c>
      <c r="B416" s="11" t="str">
        <f>IF(COUNTIF(Дела!$A:$A,ROW()-1)&gt;0,VLOOKUP(ROW()-1,Дела!$A:$F,6,0),"")</f>
        <v/>
      </c>
      <c r="C416" s="11" t="str">
        <f>IF(COUNTIF(Дела!$A:$A,ROW()-1)&gt;0,VLOOKUP(ROW()-1,Дела!$A:$G,7,0),"")</f>
        <v/>
      </c>
      <c r="D416" s="11" t="str">
        <f>IF(COUNTIF(Дела!$A:$A,ROW()-1)&gt;0,VLOOKUP(ROW()-1,Дела!$A:$I,9,0),"")</f>
        <v/>
      </c>
      <c r="E416" s="11" t="str">
        <f t="shared" si="6"/>
        <v/>
      </c>
      <c r="F416" s="12" t="str">
        <f>IF(COUNTIF(Дела!$A:$A,ROW()-1)&gt;0,VLOOKUP(ROW()-1,Дела!$A:$M,13,0),"")</f>
        <v/>
      </c>
      <c r="G416" s="13" t="str">
        <f>IF(COUNTIF(Дела!$A:$A,ROW()-1)&gt;0,VLOOKUP(ROW()-1,Дела!$A:$N,14,0),"")</f>
        <v/>
      </c>
      <c r="H416" s="11" t="str">
        <f>IF(COUNTIF(Дела!$A:$A,ROW()-1)&gt;0,VLOOKUP(ROW()-1,Дела!$A:$K,11,0),"")</f>
        <v/>
      </c>
    </row>
    <row r="417" spans="1:8" x14ac:dyDescent="0.25">
      <c r="A417" s="11" t="str">
        <f>IF(COUNTIF(Дела!$A:$A,ROW()-1)&gt;0,VLOOKUP(ROW()-1,Дела!$A:$C,3,0),"")</f>
        <v/>
      </c>
      <c r="B417" s="11" t="str">
        <f>IF(COUNTIF(Дела!$A:$A,ROW()-1)&gt;0,VLOOKUP(ROW()-1,Дела!$A:$F,6,0),"")</f>
        <v/>
      </c>
      <c r="C417" s="11" t="str">
        <f>IF(COUNTIF(Дела!$A:$A,ROW()-1)&gt;0,VLOOKUP(ROW()-1,Дела!$A:$G,7,0),"")</f>
        <v/>
      </c>
      <c r="D417" s="11" t="str">
        <f>IF(COUNTIF(Дела!$A:$A,ROW()-1)&gt;0,VLOOKUP(ROW()-1,Дела!$A:$I,9,0),"")</f>
        <v/>
      </c>
      <c r="E417" s="11" t="str">
        <f t="shared" si="6"/>
        <v/>
      </c>
      <c r="F417" s="12" t="str">
        <f>IF(COUNTIF(Дела!$A:$A,ROW()-1)&gt;0,VLOOKUP(ROW()-1,Дела!$A:$M,13,0),"")</f>
        <v/>
      </c>
      <c r="G417" s="13" t="str">
        <f>IF(COUNTIF(Дела!$A:$A,ROW()-1)&gt;0,VLOOKUP(ROW()-1,Дела!$A:$N,14,0),"")</f>
        <v/>
      </c>
      <c r="H417" s="11" t="str">
        <f>IF(COUNTIF(Дела!$A:$A,ROW()-1)&gt;0,VLOOKUP(ROW()-1,Дела!$A:$K,11,0),"")</f>
        <v/>
      </c>
    </row>
    <row r="418" spans="1:8" x14ac:dyDescent="0.25">
      <c r="A418" s="11" t="str">
        <f>IF(COUNTIF(Дела!$A:$A,ROW()-1)&gt;0,VLOOKUP(ROW()-1,Дела!$A:$C,3,0),"")</f>
        <v/>
      </c>
      <c r="B418" s="11" t="str">
        <f>IF(COUNTIF(Дела!$A:$A,ROW()-1)&gt;0,VLOOKUP(ROW()-1,Дела!$A:$F,6,0),"")</f>
        <v/>
      </c>
      <c r="C418" s="11" t="str">
        <f>IF(COUNTIF(Дела!$A:$A,ROW()-1)&gt;0,VLOOKUP(ROW()-1,Дела!$A:$G,7,0),"")</f>
        <v/>
      </c>
      <c r="D418" s="11" t="str">
        <f>IF(COUNTIF(Дела!$A:$A,ROW()-1)&gt;0,VLOOKUP(ROW()-1,Дела!$A:$I,9,0),"")</f>
        <v/>
      </c>
      <c r="E418" s="11" t="str">
        <f t="shared" si="6"/>
        <v/>
      </c>
      <c r="F418" s="12" t="str">
        <f>IF(COUNTIF(Дела!$A:$A,ROW()-1)&gt;0,VLOOKUP(ROW()-1,Дела!$A:$M,13,0),"")</f>
        <v/>
      </c>
      <c r="G418" s="13" t="str">
        <f>IF(COUNTIF(Дела!$A:$A,ROW()-1)&gt;0,VLOOKUP(ROW()-1,Дела!$A:$N,14,0),"")</f>
        <v/>
      </c>
      <c r="H418" s="11" t="str">
        <f>IF(COUNTIF(Дела!$A:$A,ROW()-1)&gt;0,VLOOKUP(ROW()-1,Дела!$A:$K,11,0),"")</f>
        <v/>
      </c>
    </row>
    <row r="419" spans="1:8" x14ac:dyDescent="0.25">
      <c r="A419" s="11" t="str">
        <f>IF(COUNTIF(Дела!$A:$A,ROW()-1)&gt;0,VLOOKUP(ROW()-1,Дела!$A:$C,3,0),"")</f>
        <v/>
      </c>
      <c r="B419" s="11" t="str">
        <f>IF(COUNTIF(Дела!$A:$A,ROW()-1)&gt;0,VLOOKUP(ROW()-1,Дела!$A:$F,6,0),"")</f>
        <v/>
      </c>
      <c r="C419" s="11" t="str">
        <f>IF(COUNTIF(Дела!$A:$A,ROW()-1)&gt;0,VLOOKUP(ROW()-1,Дела!$A:$G,7,0),"")</f>
        <v/>
      </c>
      <c r="D419" s="11" t="str">
        <f>IF(COUNTIF(Дела!$A:$A,ROW()-1)&gt;0,VLOOKUP(ROW()-1,Дела!$A:$I,9,0),"")</f>
        <v/>
      </c>
      <c r="E419" s="11" t="str">
        <f t="shared" si="6"/>
        <v/>
      </c>
      <c r="F419" s="12" t="str">
        <f>IF(COUNTIF(Дела!$A:$A,ROW()-1)&gt;0,VLOOKUP(ROW()-1,Дела!$A:$M,13,0),"")</f>
        <v/>
      </c>
      <c r="G419" s="13" t="str">
        <f>IF(COUNTIF(Дела!$A:$A,ROW()-1)&gt;0,VLOOKUP(ROW()-1,Дела!$A:$N,14,0),"")</f>
        <v/>
      </c>
      <c r="H419" s="11" t="str">
        <f>IF(COUNTIF(Дела!$A:$A,ROW()-1)&gt;0,VLOOKUP(ROW()-1,Дела!$A:$K,11,0),"")</f>
        <v/>
      </c>
    </row>
    <row r="420" spans="1:8" x14ac:dyDescent="0.25">
      <c r="A420" s="11" t="str">
        <f>IF(COUNTIF(Дела!$A:$A,ROW()-1)&gt;0,VLOOKUP(ROW()-1,Дела!$A:$C,3,0),"")</f>
        <v/>
      </c>
      <c r="B420" s="11" t="str">
        <f>IF(COUNTIF(Дела!$A:$A,ROW()-1)&gt;0,VLOOKUP(ROW()-1,Дела!$A:$F,6,0),"")</f>
        <v/>
      </c>
      <c r="C420" s="11" t="str">
        <f>IF(COUNTIF(Дела!$A:$A,ROW()-1)&gt;0,VLOOKUP(ROW()-1,Дела!$A:$G,7,0),"")</f>
        <v/>
      </c>
      <c r="D420" s="11" t="str">
        <f>IF(COUNTIF(Дела!$A:$A,ROW()-1)&gt;0,VLOOKUP(ROW()-1,Дела!$A:$I,9,0),"")</f>
        <v/>
      </c>
      <c r="E420" s="11" t="str">
        <f t="shared" si="6"/>
        <v/>
      </c>
      <c r="F420" s="12" t="str">
        <f>IF(COUNTIF(Дела!$A:$A,ROW()-1)&gt;0,VLOOKUP(ROW()-1,Дела!$A:$M,13,0),"")</f>
        <v/>
      </c>
      <c r="G420" s="13" t="str">
        <f>IF(COUNTIF(Дела!$A:$A,ROW()-1)&gt;0,VLOOKUP(ROW()-1,Дела!$A:$N,14,0),"")</f>
        <v/>
      </c>
      <c r="H420" s="11" t="str">
        <f>IF(COUNTIF(Дела!$A:$A,ROW()-1)&gt;0,VLOOKUP(ROW()-1,Дела!$A:$K,11,0),"")</f>
        <v/>
      </c>
    </row>
    <row r="421" spans="1:8" x14ac:dyDescent="0.25">
      <c r="A421" s="11" t="str">
        <f>IF(COUNTIF(Дела!$A:$A,ROW()-1)&gt;0,VLOOKUP(ROW()-1,Дела!$A:$C,3,0),"")</f>
        <v/>
      </c>
      <c r="B421" s="11" t="str">
        <f>IF(COUNTIF(Дела!$A:$A,ROW()-1)&gt;0,VLOOKUP(ROW()-1,Дела!$A:$F,6,0),"")</f>
        <v/>
      </c>
      <c r="C421" s="11" t="str">
        <f>IF(COUNTIF(Дела!$A:$A,ROW()-1)&gt;0,VLOOKUP(ROW()-1,Дела!$A:$G,7,0),"")</f>
        <v/>
      </c>
      <c r="D421" s="11" t="str">
        <f>IF(COUNTIF(Дела!$A:$A,ROW()-1)&gt;0,VLOOKUP(ROW()-1,Дела!$A:$I,9,0),"")</f>
        <v/>
      </c>
      <c r="E421" s="11" t="str">
        <f t="shared" si="6"/>
        <v/>
      </c>
      <c r="F421" s="12" t="str">
        <f>IF(COUNTIF(Дела!$A:$A,ROW()-1)&gt;0,VLOOKUP(ROW()-1,Дела!$A:$M,13,0),"")</f>
        <v/>
      </c>
      <c r="G421" s="13" t="str">
        <f>IF(COUNTIF(Дела!$A:$A,ROW()-1)&gt;0,VLOOKUP(ROW()-1,Дела!$A:$N,14,0),"")</f>
        <v/>
      </c>
      <c r="H421" s="11" t="str">
        <f>IF(COUNTIF(Дела!$A:$A,ROW()-1)&gt;0,VLOOKUP(ROW()-1,Дела!$A:$K,11,0),"")</f>
        <v/>
      </c>
    </row>
    <row r="422" spans="1:8" x14ac:dyDescent="0.25">
      <c r="A422" s="11" t="str">
        <f>IF(COUNTIF(Дела!$A:$A,ROW()-1)&gt;0,VLOOKUP(ROW()-1,Дела!$A:$C,3,0),"")</f>
        <v/>
      </c>
      <c r="B422" s="11" t="str">
        <f>IF(COUNTIF(Дела!$A:$A,ROW()-1)&gt;0,VLOOKUP(ROW()-1,Дела!$A:$F,6,0),"")</f>
        <v/>
      </c>
      <c r="C422" s="11" t="str">
        <f>IF(COUNTIF(Дела!$A:$A,ROW()-1)&gt;0,VLOOKUP(ROW()-1,Дела!$A:$G,7,0),"")</f>
        <v/>
      </c>
      <c r="D422" s="11" t="str">
        <f>IF(COUNTIF(Дела!$A:$A,ROW()-1)&gt;0,VLOOKUP(ROW()-1,Дела!$A:$I,9,0),"")</f>
        <v/>
      </c>
      <c r="E422" s="11" t="str">
        <f t="shared" si="6"/>
        <v/>
      </c>
      <c r="F422" s="12" t="str">
        <f>IF(COUNTIF(Дела!$A:$A,ROW()-1)&gt;0,VLOOKUP(ROW()-1,Дела!$A:$M,13,0),"")</f>
        <v/>
      </c>
      <c r="G422" s="13" t="str">
        <f>IF(COUNTIF(Дела!$A:$A,ROW()-1)&gt;0,VLOOKUP(ROW()-1,Дела!$A:$N,14,0),"")</f>
        <v/>
      </c>
      <c r="H422" s="11" t="str">
        <f>IF(COUNTIF(Дела!$A:$A,ROW()-1)&gt;0,VLOOKUP(ROW()-1,Дела!$A:$K,11,0),"")</f>
        <v/>
      </c>
    </row>
    <row r="423" spans="1:8" x14ac:dyDescent="0.25">
      <c r="A423" s="11" t="str">
        <f>IF(COUNTIF(Дела!$A:$A,ROW()-1)&gt;0,VLOOKUP(ROW()-1,Дела!$A:$C,3,0),"")</f>
        <v/>
      </c>
      <c r="B423" s="11" t="str">
        <f>IF(COUNTIF(Дела!$A:$A,ROW()-1)&gt;0,VLOOKUP(ROW()-1,Дела!$A:$F,6,0),"")</f>
        <v/>
      </c>
      <c r="C423" s="11" t="str">
        <f>IF(COUNTIF(Дела!$A:$A,ROW()-1)&gt;0,VLOOKUP(ROW()-1,Дела!$A:$G,7,0),"")</f>
        <v/>
      </c>
      <c r="D423" s="11" t="str">
        <f>IF(COUNTIF(Дела!$A:$A,ROW()-1)&gt;0,VLOOKUP(ROW()-1,Дела!$A:$I,9,0),"")</f>
        <v/>
      </c>
      <c r="E423" s="11" t="str">
        <f t="shared" si="6"/>
        <v/>
      </c>
      <c r="F423" s="12" t="str">
        <f>IF(COUNTIF(Дела!$A:$A,ROW()-1)&gt;0,VLOOKUP(ROW()-1,Дела!$A:$M,13,0),"")</f>
        <v/>
      </c>
      <c r="G423" s="13" t="str">
        <f>IF(COUNTIF(Дела!$A:$A,ROW()-1)&gt;0,VLOOKUP(ROW()-1,Дела!$A:$N,14,0),"")</f>
        <v/>
      </c>
      <c r="H423" s="11" t="str">
        <f>IF(COUNTIF(Дела!$A:$A,ROW()-1)&gt;0,VLOOKUP(ROW()-1,Дела!$A:$K,11,0),"")</f>
        <v/>
      </c>
    </row>
    <row r="424" spans="1:8" x14ac:dyDescent="0.25">
      <c r="A424" s="11" t="str">
        <f>IF(COUNTIF(Дела!$A:$A,ROW()-1)&gt;0,VLOOKUP(ROW()-1,Дела!$A:$C,3,0),"")</f>
        <v/>
      </c>
      <c r="B424" s="11" t="str">
        <f>IF(COUNTIF(Дела!$A:$A,ROW()-1)&gt;0,VLOOKUP(ROW()-1,Дела!$A:$F,6,0),"")</f>
        <v/>
      </c>
      <c r="C424" s="11" t="str">
        <f>IF(COUNTIF(Дела!$A:$A,ROW()-1)&gt;0,VLOOKUP(ROW()-1,Дела!$A:$G,7,0),"")</f>
        <v/>
      </c>
      <c r="D424" s="11" t="str">
        <f>IF(COUNTIF(Дела!$A:$A,ROW()-1)&gt;0,VLOOKUP(ROW()-1,Дела!$A:$I,9,0),"")</f>
        <v/>
      </c>
      <c r="E424" s="11" t="str">
        <f t="shared" si="6"/>
        <v/>
      </c>
      <c r="F424" s="12" t="str">
        <f>IF(COUNTIF(Дела!$A:$A,ROW()-1)&gt;0,VLOOKUP(ROW()-1,Дела!$A:$M,13,0),"")</f>
        <v/>
      </c>
      <c r="G424" s="13" t="str">
        <f>IF(COUNTIF(Дела!$A:$A,ROW()-1)&gt;0,VLOOKUP(ROW()-1,Дела!$A:$N,14,0),"")</f>
        <v/>
      </c>
      <c r="H424" s="11" t="str">
        <f>IF(COUNTIF(Дела!$A:$A,ROW()-1)&gt;0,VLOOKUP(ROW()-1,Дела!$A:$K,11,0),"")</f>
        <v/>
      </c>
    </row>
    <row r="425" spans="1:8" x14ac:dyDescent="0.25">
      <c r="A425" s="11" t="str">
        <f>IF(COUNTIF(Дела!$A:$A,ROW()-1)&gt;0,VLOOKUP(ROW()-1,Дела!$A:$C,3,0),"")</f>
        <v/>
      </c>
      <c r="B425" s="11" t="str">
        <f>IF(COUNTIF(Дела!$A:$A,ROW()-1)&gt;0,VLOOKUP(ROW()-1,Дела!$A:$F,6,0),"")</f>
        <v/>
      </c>
      <c r="C425" s="11" t="str">
        <f>IF(COUNTIF(Дела!$A:$A,ROW()-1)&gt;0,VLOOKUP(ROW()-1,Дела!$A:$G,7,0),"")</f>
        <v/>
      </c>
      <c r="D425" s="11" t="str">
        <f>IF(COUNTIF(Дела!$A:$A,ROW()-1)&gt;0,VLOOKUP(ROW()-1,Дела!$A:$I,9,0),"")</f>
        <v/>
      </c>
      <c r="E425" s="11" t="str">
        <f t="shared" si="6"/>
        <v/>
      </c>
      <c r="F425" s="12" t="str">
        <f>IF(COUNTIF(Дела!$A:$A,ROW()-1)&gt;0,VLOOKUP(ROW()-1,Дела!$A:$M,13,0),"")</f>
        <v/>
      </c>
      <c r="G425" s="13" t="str">
        <f>IF(COUNTIF(Дела!$A:$A,ROW()-1)&gt;0,VLOOKUP(ROW()-1,Дела!$A:$N,14,0),"")</f>
        <v/>
      </c>
      <c r="H425" s="11" t="str">
        <f>IF(COUNTIF(Дела!$A:$A,ROW()-1)&gt;0,VLOOKUP(ROW()-1,Дела!$A:$K,11,0),"")</f>
        <v/>
      </c>
    </row>
    <row r="426" spans="1:8" x14ac:dyDescent="0.25">
      <c r="A426" s="11" t="str">
        <f>IF(COUNTIF(Дела!$A:$A,ROW()-1)&gt;0,VLOOKUP(ROW()-1,Дела!$A:$C,3,0),"")</f>
        <v/>
      </c>
      <c r="B426" s="11" t="str">
        <f>IF(COUNTIF(Дела!$A:$A,ROW()-1)&gt;0,VLOOKUP(ROW()-1,Дела!$A:$F,6,0),"")</f>
        <v/>
      </c>
      <c r="C426" s="11" t="str">
        <f>IF(COUNTIF(Дела!$A:$A,ROW()-1)&gt;0,VLOOKUP(ROW()-1,Дела!$A:$G,7,0),"")</f>
        <v/>
      </c>
      <c r="D426" s="11" t="str">
        <f>IF(COUNTIF(Дела!$A:$A,ROW()-1)&gt;0,VLOOKUP(ROW()-1,Дела!$A:$I,9,0),"")</f>
        <v/>
      </c>
      <c r="E426" s="11" t="str">
        <f t="shared" si="6"/>
        <v/>
      </c>
      <c r="F426" s="12" t="str">
        <f>IF(COUNTIF(Дела!$A:$A,ROW()-1)&gt;0,VLOOKUP(ROW()-1,Дела!$A:$M,13,0),"")</f>
        <v/>
      </c>
      <c r="G426" s="13" t="str">
        <f>IF(COUNTIF(Дела!$A:$A,ROW()-1)&gt;0,VLOOKUP(ROW()-1,Дела!$A:$N,14,0),"")</f>
        <v/>
      </c>
      <c r="H426" s="11" t="str">
        <f>IF(COUNTIF(Дела!$A:$A,ROW()-1)&gt;0,VLOOKUP(ROW()-1,Дела!$A:$K,11,0),"")</f>
        <v/>
      </c>
    </row>
    <row r="427" spans="1:8" x14ac:dyDescent="0.25">
      <c r="A427" s="11" t="str">
        <f>IF(COUNTIF(Дела!$A:$A,ROW()-1)&gt;0,VLOOKUP(ROW()-1,Дела!$A:$C,3,0),"")</f>
        <v/>
      </c>
      <c r="B427" s="11" t="str">
        <f>IF(COUNTIF(Дела!$A:$A,ROW()-1)&gt;0,VLOOKUP(ROW()-1,Дела!$A:$F,6,0),"")</f>
        <v/>
      </c>
      <c r="C427" s="11" t="str">
        <f>IF(COUNTIF(Дела!$A:$A,ROW()-1)&gt;0,VLOOKUP(ROW()-1,Дела!$A:$G,7,0),"")</f>
        <v/>
      </c>
      <c r="D427" s="11" t="str">
        <f>IF(COUNTIF(Дела!$A:$A,ROW()-1)&gt;0,VLOOKUP(ROW()-1,Дела!$A:$I,9,0),"")</f>
        <v/>
      </c>
      <c r="E427" s="11" t="str">
        <f t="shared" si="6"/>
        <v/>
      </c>
      <c r="F427" s="12" t="str">
        <f>IF(COUNTIF(Дела!$A:$A,ROW()-1)&gt;0,VLOOKUP(ROW()-1,Дела!$A:$M,13,0),"")</f>
        <v/>
      </c>
      <c r="G427" s="13" t="str">
        <f>IF(COUNTIF(Дела!$A:$A,ROW()-1)&gt;0,VLOOKUP(ROW()-1,Дела!$A:$N,14,0),"")</f>
        <v/>
      </c>
      <c r="H427" s="11" t="str">
        <f>IF(COUNTIF(Дела!$A:$A,ROW()-1)&gt;0,VLOOKUP(ROW()-1,Дела!$A:$K,11,0),"")</f>
        <v/>
      </c>
    </row>
    <row r="428" spans="1:8" x14ac:dyDescent="0.25">
      <c r="A428" s="11" t="str">
        <f>IF(COUNTIF(Дела!$A:$A,ROW()-1)&gt;0,VLOOKUP(ROW()-1,Дела!$A:$C,3,0),"")</f>
        <v/>
      </c>
      <c r="B428" s="11" t="str">
        <f>IF(COUNTIF(Дела!$A:$A,ROW()-1)&gt;0,VLOOKUP(ROW()-1,Дела!$A:$F,6,0),"")</f>
        <v/>
      </c>
      <c r="C428" s="11" t="str">
        <f>IF(COUNTIF(Дела!$A:$A,ROW()-1)&gt;0,VLOOKUP(ROW()-1,Дела!$A:$G,7,0),"")</f>
        <v/>
      </c>
      <c r="D428" s="11" t="str">
        <f>IF(COUNTIF(Дела!$A:$A,ROW()-1)&gt;0,VLOOKUP(ROW()-1,Дела!$A:$I,9,0),"")</f>
        <v/>
      </c>
      <c r="E428" s="11" t="str">
        <f t="shared" si="6"/>
        <v/>
      </c>
      <c r="F428" s="12" t="str">
        <f>IF(COUNTIF(Дела!$A:$A,ROW()-1)&gt;0,VLOOKUP(ROW()-1,Дела!$A:$M,13,0),"")</f>
        <v/>
      </c>
      <c r="G428" s="13" t="str">
        <f>IF(COUNTIF(Дела!$A:$A,ROW()-1)&gt;0,VLOOKUP(ROW()-1,Дела!$A:$N,14,0),"")</f>
        <v/>
      </c>
      <c r="H428" s="11" t="str">
        <f>IF(COUNTIF(Дела!$A:$A,ROW()-1)&gt;0,VLOOKUP(ROW()-1,Дела!$A:$K,11,0),"")</f>
        <v/>
      </c>
    </row>
    <row r="429" spans="1:8" x14ac:dyDescent="0.25">
      <c r="A429" s="11" t="str">
        <f>IF(COUNTIF(Дела!$A:$A,ROW()-1)&gt;0,VLOOKUP(ROW()-1,Дела!$A:$C,3,0),"")</f>
        <v/>
      </c>
      <c r="B429" s="11" t="str">
        <f>IF(COUNTIF(Дела!$A:$A,ROW()-1)&gt;0,VLOOKUP(ROW()-1,Дела!$A:$F,6,0),"")</f>
        <v/>
      </c>
      <c r="C429" s="11" t="str">
        <f>IF(COUNTIF(Дела!$A:$A,ROW()-1)&gt;0,VLOOKUP(ROW()-1,Дела!$A:$G,7,0),"")</f>
        <v/>
      </c>
      <c r="D429" s="11" t="str">
        <f>IF(COUNTIF(Дела!$A:$A,ROW()-1)&gt;0,VLOOKUP(ROW()-1,Дела!$A:$I,9,0),"")</f>
        <v/>
      </c>
      <c r="E429" s="11" t="str">
        <f t="shared" si="6"/>
        <v/>
      </c>
      <c r="F429" s="12" t="str">
        <f>IF(COUNTIF(Дела!$A:$A,ROW()-1)&gt;0,VLOOKUP(ROW()-1,Дела!$A:$M,13,0),"")</f>
        <v/>
      </c>
      <c r="G429" s="13" t="str">
        <f>IF(COUNTIF(Дела!$A:$A,ROW()-1)&gt;0,VLOOKUP(ROW()-1,Дела!$A:$N,14,0),"")</f>
        <v/>
      </c>
      <c r="H429" s="11" t="str">
        <f>IF(COUNTIF(Дела!$A:$A,ROW()-1)&gt;0,VLOOKUP(ROW()-1,Дела!$A:$K,11,0),"")</f>
        <v/>
      </c>
    </row>
    <row r="430" spans="1:8" x14ac:dyDescent="0.25">
      <c r="A430" s="11" t="str">
        <f>IF(COUNTIF(Дела!$A:$A,ROW()-1)&gt;0,VLOOKUP(ROW()-1,Дела!$A:$C,3,0),"")</f>
        <v/>
      </c>
      <c r="B430" s="11" t="str">
        <f>IF(COUNTIF(Дела!$A:$A,ROW()-1)&gt;0,VLOOKUP(ROW()-1,Дела!$A:$F,6,0),"")</f>
        <v/>
      </c>
      <c r="C430" s="11" t="str">
        <f>IF(COUNTIF(Дела!$A:$A,ROW()-1)&gt;0,VLOOKUP(ROW()-1,Дела!$A:$G,7,0),"")</f>
        <v/>
      </c>
      <c r="D430" s="11" t="str">
        <f>IF(COUNTIF(Дела!$A:$A,ROW()-1)&gt;0,VLOOKUP(ROW()-1,Дела!$A:$I,9,0),"")</f>
        <v/>
      </c>
      <c r="E430" s="11" t="str">
        <f t="shared" si="6"/>
        <v/>
      </c>
      <c r="F430" s="12" t="str">
        <f>IF(COUNTIF(Дела!$A:$A,ROW()-1)&gt;0,VLOOKUP(ROW()-1,Дела!$A:$M,13,0),"")</f>
        <v/>
      </c>
      <c r="G430" s="13" t="str">
        <f>IF(COUNTIF(Дела!$A:$A,ROW()-1)&gt;0,VLOOKUP(ROW()-1,Дела!$A:$N,14,0),"")</f>
        <v/>
      </c>
      <c r="H430" s="11" t="str">
        <f>IF(COUNTIF(Дела!$A:$A,ROW()-1)&gt;0,VLOOKUP(ROW()-1,Дела!$A:$K,11,0),"")</f>
        <v/>
      </c>
    </row>
    <row r="431" spans="1:8" x14ac:dyDescent="0.25">
      <c r="A431" s="11" t="str">
        <f>IF(COUNTIF(Дела!$A:$A,ROW()-1)&gt;0,VLOOKUP(ROW()-1,Дела!$A:$C,3,0),"")</f>
        <v/>
      </c>
      <c r="B431" s="11" t="str">
        <f>IF(COUNTIF(Дела!$A:$A,ROW()-1)&gt;0,VLOOKUP(ROW()-1,Дела!$A:$F,6,0),"")</f>
        <v/>
      </c>
      <c r="C431" s="11" t="str">
        <f>IF(COUNTIF(Дела!$A:$A,ROW()-1)&gt;0,VLOOKUP(ROW()-1,Дела!$A:$G,7,0),"")</f>
        <v/>
      </c>
      <c r="D431" s="11" t="str">
        <f>IF(COUNTIF(Дела!$A:$A,ROW()-1)&gt;0,VLOOKUP(ROW()-1,Дела!$A:$I,9,0),"")</f>
        <v/>
      </c>
      <c r="E431" s="11" t="str">
        <f t="shared" si="6"/>
        <v/>
      </c>
      <c r="F431" s="12" t="str">
        <f>IF(COUNTIF(Дела!$A:$A,ROW()-1)&gt;0,VLOOKUP(ROW()-1,Дела!$A:$M,13,0),"")</f>
        <v/>
      </c>
      <c r="G431" s="13" t="str">
        <f>IF(COUNTIF(Дела!$A:$A,ROW()-1)&gt;0,VLOOKUP(ROW()-1,Дела!$A:$N,14,0),"")</f>
        <v/>
      </c>
      <c r="H431" s="11" t="str">
        <f>IF(COUNTIF(Дела!$A:$A,ROW()-1)&gt;0,VLOOKUP(ROW()-1,Дела!$A:$K,11,0),"")</f>
        <v/>
      </c>
    </row>
    <row r="432" spans="1:8" x14ac:dyDescent="0.25">
      <c r="A432" s="11" t="str">
        <f>IF(COUNTIF(Дела!$A:$A,ROW()-1)&gt;0,VLOOKUP(ROW()-1,Дела!$A:$C,3,0),"")</f>
        <v/>
      </c>
      <c r="B432" s="11" t="str">
        <f>IF(COUNTIF(Дела!$A:$A,ROW()-1)&gt;0,VLOOKUP(ROW()-1,Дела!$A:$F,6,0),"")</f>
        <v/>
      </c>
      <c r="C432" s="11" t="str">
        <f>IF(COUNTIF(Дела!$A:$A,ROW()-1)&gt;0,VLOOKUP(ROW()-1,Дела!$A:$G,7,0),"")</f>
        <v/>
      </c>
      <c r="D432" s="11" t="str">
        <f>IF(COUNTIF(Дела!$A:$A,ROW()-1)&gt;0,VLOOKUP(ROW()-1,Дела!$A:$I,9,0),"")</f>
        <v/>
      </c>
      <c r="E432" s="11" t="str">
        <f t="shared" si="6"/>
        <v/>
      </c>
      <c r="F432" s="12" t="str">
        <f>IF(COUNTIF(Дела!$A:$A,ROW()-1)&gt;0,VLOOKUP(ROW()-1,Дела!$A:$M,13,0),"")</f>
        <v/>
      </c>
      <c r="G432" s="13" t="str">
        <f>IF(COUNTIF(Дела!$A:$A,ROW()-1)&gt;0,VLOOKUP(ROW()-1,Дела!$A:$N,14,0),"")</f>
        <v/>
      </c>
      <c r="H432" s="11" t="str">
        <f>IF(COUNTIF(Дела!$A:$A,ROW()-1)&gt;0,VLOOKUP(ROW()-1,Дела!$A:$K,11,0),"")</f>
        <v/>
      </c>
    </row>
    <row r="433" spans="1:8" x14ac:dyDescent="0.25">
      <c r="A433" s="11" t="str">
        <f>IF(COUNTIF(Дела!$A:$A,ROW()-1)&gt;0,VLOOKUP(ROW()-1,Дела!$A:$C,3,0),"")</f>
        <v/>
      </c>
      <c r="B433" s="11" t="str">
        <f>IF(COUNTIF(Дела!$A:$A,ROW()-1)&gt;0,VLOOKUP(ROW()-1,Дела!$A:$F,6,0),"")</f>
        <v/>
      </c>
      <c r="C433" s="11" t="str">
        <f>IF(COUNTIF(Дела!$A:$A,ROW()-1)&gt;0,VLOOKUP(ROW()-1,Дела!$A:$G,7,0),"")</f>
        <v/>
      </c>
      <c r="D433" s="11" t="str">
        <f>IF(COUNTIF(Дела!$A:$A,ROW()-1)&gt;0,VLOOKUP(ROW()-1,Дела!$A:$I,9,0),"")</f>
        <v/>
      </c>
      <c r="E433" s="11" t="str">
        <f t="shared" si="6"/>
        <v/>
      </c>
      <c r="F433" s="12" t="str">
        <f>IF(COUNTIF(Дела!$A:$A,ROW()-1)&gt;0,VLOOKUP(ROW()-1,Дела!$A:$M,13,0),"")</f>
        <v/>
      </c>
      <c r="G433" s="13" t="str">
        <f>IF(COUNTIF(Дела!$A:$A,ROW()-1)&gt;0,VLOOKUP(ROW()-1,Дела!$A:$N,14,0),"")</f>
        <v/>
      </c>
      <c r="H433" s="11" t="str">
        <f>IF(COUNTIF(Дела!$A:$A,ROW()-1)&gt;0,VLOOKUP(ROW()-1,Дела!$A:$K,11,0),"")</f>
        <v/>
      </c>
    </row>
    <row r="434" spans="1:8" x14ac:dyDescent="0.25">
      <c r="A434" s="11" t="str">
        <f>IF(COUNTIF(Дела!$A:$A,ROW()-1)&gt;0,VLOOKUP(ROW()-1,Дела!$A:$C,3,0),"")</f>
        <v/>
      </c>
      <c r="B434" s="11" t="str">
        <f>IF(COUNTIF(Дела!$A:$A,ROW()-1)&gt;0,VLOOKUP(ROW()-1,Дела!$A:$F,6,0),"")</f>
        <v/>
      </c>
      <c r="C434" s="11" t="str">
        <f>IF(COUNTIF(Дела!$A:$A,ROW()-1)&gt;0,VLOOKUP(ROW()-1,Дела!$A:$G,7,0),"")</f>
        <v/>
      </c>
      <c r="D434" s="11" t="str">
        <f>IF(COUNTIF(Дела!$A:$A,ROW()-1)&gt;0,VLOOKUP(ROW()-1,Дела!$A:$I,9,0),"")</f>
        <v/>
      </c>
      <c r="E434" s="11" t="str">
        <f t="shared" si="6"/>
        <v/>
      </c>
      <c r="F434" s="12" t="str">
        <f>IF(COUNTIF(Дела!$A:$A,ROW()-1)&gt;0,VLOOKUP(ROW()-1,Дела!$A:$M,13,0),"")</f>
        <v/>
      </c>
      <c r="G434" s="13" t="str">
        <f>IF(COUNTIF(Дела!$A:$A,ROW()-1)&gt;0,VLOOKUP(ROW()-1,Дела!$A:$N,14,0),"")</f>
        <v/>
      </c>
      <c r="H434" s="11" t="str">
        <f>IF(COUNTIF(Дела!$A:$A,ROW()-1)&gt;0,VLOOKUP(ROW()-1,Дела!$A:$K,11,0),"")</f>
        <v/>
      </c>
    </row>
    <row r="435" spans="1:8" x14ac:dyDescent="0.25">
      <c r="A435" s="11" t="str">
        <f>IF(COUNTIF(Дела!$A:$A,ROW()-1)&gt;0,VLOOKUP(ROW()-1,Дела!$A:$C,3,0),"")</f>
        <v/>
      </c>
      <c r="B435" s="11" t="str">
        <f>IF(COUNTIF(Дела!$A:$A,ROW()-1)&gt;0,VLOOKUP(ROW()-1,Дела!$A:$F,6,0),"")</f>
        <v/>
      </c>
      <c r="C435" s="11" t="str">
        <f>IF(COUNTIF(Дела!$A:$A,ROW()-1)&gt;0,VLOOKUP(ROW()-1,Дела!$A:$G,7,0),"")</f>
        <v/>
      </c>
      <c r="D435" s="11" t="str">
        <f>IF(COUNTIF(Дела!$A:$A,ROW()-1)&gt;0,VLOOKUP(ROW()-1,Дела!$A:$I,9,0),"")</f>
        <v/>
      </c>
      <c r="E435" s="11" t="str">
        <f t="shared" si="6"/>
        <v/>
      </c>
      <c r="F435" s="12" t="str">
        <f>IF(COUNTIF(Дела!$A:$A,ROW()-1)&gt;0,VLOOKUP(ROW()-1,Дела!$A:$M,13,0),"")</f>
        <v/>
      </c>
      <c r="G435" s="13" t="str">
        <f>IF(COUNTIF(Дела!$A:$A,ROW()-1)&gt;0,VLOOKUP(ROW()-1,Дела!$A:$N,14,0),"")</f>
        <v/>
      </c>
      <c r="H435" s="11" t="str">
        <f>IF(COUNTIF(Дела!$A:$A,ROW()-1)&gt;0,VLOOKUP(ROW()-1,Дела!$A:$K,11,0),"")</f>
        <v/>
      </c>
    </row>
    <row r="436" spans="1:8" x14ac:dyDescent="0.25">
      <c r="A436" s="11" t="str">
        <f>IF(COUNTIF(Дела!$A:$A,ROW()-1)&gt;0,VLOOKUP(ROW()-1,Дела!$A:$C,3,0),"")</f>
        <v/>
      </c>
      <c r="B436" s="11" t="str">
        <f>IF(COUNTIF(Дела!$A:$A,ROW()-1)&gt;0,VLOOKUP(ROW()-1,Дела!$A:$F,6,0),"")</f>
        <v/>
      </c>
      <c r="C436" s="11" t="str">
        <f>IF(COUNTIF(Дела!$A:$A,ROW()-1)&gt;0,VLOOKUP(ROW()-1,Дела!$A:$G,7,0),"")</f>
        <v/>
      </c>
      <c r="D436" s="11" t="str">
        <f>IF(COUNTIF(Дела!$A:$A,ROW()-1)&gt;0,VLOOKUP(ROW()-1,Дела!$A:$I,9,0),"")</f>
        <v/>
      </c>
      <c r="E436" s="11" t="str">
        <f t="shared" si="6"/>
        <v/>
      </c>
      <c r="F436" s="12" t="str">
        <f>IF(COUNTIF(Дела!$A:$A,ROW()-1)&gt;0,VLOOKUP(ROW()-1,Дела!$A:$M,13,0),"")</f>
        <v/>
      </c>
      <c r="G436" s="13" t="str">
        <f>IF(COUNTIF(Дела!$A:$A,ROW()-1)&gt;0,VLOOKUP(ROW()-1,Дела!$A:$N,14,0),"")</f>
        <v/>
      </c>
      <c r="H436" s="11" t="str">
        <f>IF(COUNTIF(Дела!$A:$A,ROW()-1)&gt;0,VLOOKUP(ROW()-1,Дела!$A:$K,11,0),"")</f>
        <v/>
      </c>
    </row>
    <row r="437" spans="1:8" x14ac:dyDescent="0.25">
      <c r="A437" s="11" t="str">
        <f>IF(COUNTIF(Дела!$A:$A,ROW()-1)&gt;0,VLOOKUP(ROW()-1,Дела!$A:$C,3,0),"")</f>
        <v/>
      </c>
      <c r="B437" s="11" t="str">
        <f>IF(COUNTIF(Дела!$A:$A,ROW()-1)&gt;0,VLOOKUP(ROW()-1,Дела!$A:$F,6,0),"")</f>
        <v/>
      </c>
      <c r="C437" s="11" t="str">
        <f>IF(COUNTIF(Дела!$A:$A,ROW()-1)&gt;0,VLOOKUP(ROW()-1,Дела!$A:$G,7,0),"")</f>
        <v/>
      </c>
      <c r="D437" s="11" t="str">
        <f>IF(COUNTIF(Дела!$A:$A,ROW()-1)&gt;0,VLOOKUP(ROW()-1,Дела!$A:$I,9,0),"")</f>
        <v/>
      </c>
      <c r="E437" s="11" t="str">
        <f t="shared" si="6"/>
        <v/>
      </c>
      <c r="F437" s="12" t="str">
        <f>IF(COUNTIF(Дела!$A:$A,ROW()-1)&gt;0,VLOOKUP(ROW()-1,Дела!$A:$M,13,0),"")</f>
        <v/>
      </c>
      <c r="G437" s="13" t="str">
        <f>IF(COUNTIF(Дела!$A:$A,ROW()-1)&gt;0,VLOOKUP(ROW()-1,Дела!$A:$N,14,0),"")</f>
        <v/>
      </c>
      <c r="H437" s="11" t="str">
        <f>IF(COUNTIF(Дела!$A:$A,ROW()-1)&gt;0,VLOOKUP(ROW()-1,Дела!$A:$K,11,0),"")</f>
        <v/>
      </c>
    </row>
    <row r="438" spans="1:8" x14ac:dyDescent="0.25">
      <c r="A438" s="11" t="str">
        <f>IF(COUNTIF(Дела!$A:$A,ROW()-1)&gt;0,VLOOKUP(ROW()-1,Дела!$A:$C,3,0),"")</f>
        <v/>
      </c>
      <c r="B438" s="11" t="str">
        <f>IF(COUNTIF(Дела!$A:$A,ROW()-1)&gt;0,VLOOKUP(ROW()-1,Дела!$A:$F,6,0),"")</f>
        <v/>
      </c>
      <c r="C438" s="11" t="str">
        <f>IF(COUNTIF(Дела!$A:$A,ROW()-1)&gt;0,VLOOKUP(ROW()-1,Дела!$A:$G,7,0),"")</f>
        <v/>
      </c>
      <c r="D438" s="11" t="str">
        <f>IF(COUNTIF(Дела!$A:$A,ROW()-1)&gt;0,VLOOKUP(ROW()-1,Дела!$A:$I,9,0),"")</f>
        <v/>
      </c>
      <c r="E438" s="11" t="str">
        <f t="shared" si="6"/>
        <v/>
      </c>
      <c r="F438" s="12" t="str">
        <f>IF(COUNTIF(Дела!$A:$A,ROW()-1)&gt;0,VLOOKUP(ROW()-1,Дела!$A:$M,13,0),"")</f>
        <v/>
      </c>
      <c r="G438" s="13" t="str">
        <f>IF(COUNTIF(Дела!$A:$A,ROW()-1)&gt;0,VLOOKUP(ROW()-1,Дела!$A:$N,14,0),"")</f>
        <v/>
      </c>
      <c r="H438" s="11" t="str">
        <f>IF(COUNTIF(Дела!$A:$A,ROW()-1)&gt;0,VLOOKUP(ROW()-1,Дела!$A:$K,11,0),"")</f>
        <v/>
      </c>
    </row>
    <row r="439" spans="1:8" x14ac:dyDescent="0.25">
      <c r="A439" s="11" t="str">
        <f>IF(COUNTIF(Дела!$A:$A,ROW()-1)&gt;0,VLOOKUP(ROW()-1,Дела!$A:$C,3,0),"")</f>
        <v/>
      </c>
      <c r="B439" s="11" t="str">
        <f>IF(COUNTIF(Дела!$A:$A,ROW()-1)&gt;0,VLOOKUP(ROW()-1,Дела!$A:$F,6,0),"")</f>
        <v/>
      </c>
      <c r="C439" s="11" t="str">
        <f>IF(COUNTIF(Дела!$A:$A,ROW()-1)&gt;0,VLOOKUP(ROW()-1,Дела!$A:$G,7,0),"")</f>
        <v/>
      </c>
      <c r="D439" s="11" t="str">
        <f>IF(COUNTIF(Дела!$A:$A,ROW()-1)&gt;0,VLOOKUP(ROW()-1,Дела!$A:$I,9,0),"")</f>
        <v/>
      </c>
      <c r="E439" s="11" t="str">
        <f t="shared" si="6"/>
        <v/>
      </c>
      <c r="F439" s="12" t="str">
        <f>IF(COUNTIF(Дела!$A:$A,ROW()-1)&gt;0,VLOOKUP(ROW()-1,Дела!$A:$M,13,0),"")</f>
        <v/>
      </c>
      <c r="G439" s="13" t="str">
        <f>IF(COUNTIF(Дела!$A:$A,ROW()-1)&gt;0,VLOOKUP(ROW()-1,Дела!$A:$N,14,0),"")</f>
        <v/>
      </c>
      <c r="H439" s="11" t="str">
        <f>IF(COUNTIF(Дела!$A:$A,ROW()-1)&gt;0,VLOOKUP(ROW()-1,Дела!$A:$K,11,0),"")</f>
        <v/>
      </c>
    </row>
    <row r="440" spans="1:8" x14ac:dyDescent="0.25">
      <c r="A440" s="11" t="str">
        <f>IF(COUNTIF(Дела!$A:$A,ROW()-1)&gt;0,VLOOKUP(ROW()-1,Дела!$A:$C,3,0),"")</f>
        <v/>
      </c>
      <c r="B440" s="11" t="str">
        <f>IF(COUNTIF(Дела!$A:$A,ROW()-1)&gt;0,VLOOKUP(ROW()-1,Дела!$A:$F,6,0),"")</f>
        <v/>
      </c>
      <c r="C440" s="11" t="str">
        <f>IF(COUNTIF(Дела!$A:$A,ROW()-1)&gt;0,VLOOKUP(ROW()-1,Дела!$A:$G,7,0),"")</f>
        <v/>
      </c>
      <c r="D440" s="11" t="str">
        <f>IF(COUNTIF(Дела!$A:$A,ROW()-1)&gt;0,VLOOKUP(ROW()-1,Дела!$A:$I,9,0),"")</f>
        <v/>
      </c>
      <c r="E440" s="11" t="str">
        <f t="shared" si="6"/>
        <v/>
      </c>
      <c r="F440" s="12" t="str">
        <f>IF(COUNTIF(Дела!$A:$A,ROW()-1)&gt;0,VLOOKUP(ROW()-1,Дела!$A:$M,13,0),"")</f>
        <v/>
      </c>
      <c r="G440" s="13" t="str">
        <f>IF(COUNTIF(Дела!$A:$A,ROW()-1)&gt;0,VLOOKUP(ROW()-1,Дела!$A:$N,14,0),"")</f>
        <v/>
      </c>
      <c r="H440" s="11" t="str">
        <f>IF(COUNTIF(Дела!$A:$A,ROW()-1)&gt;0,VLOOKUP(ROW()-1,Дела!$A:$K,11,0),"")</f>
        <v/>
      </c>
    </row>
    <row r="441" spans="1:8" x14ac:dyDescent="0.25">
      <c r="A441" s="11" t="str">
        <f>IF(COUNTIF(Дела!$A:$A,ROW()-1)&gt;0,VLOOKUP(ROW()-1,Дела!$A:$C,3,0),"")</f>
        <v/>
      </c>
      <c r="B441" s="11" t="str">
        <f>IF(COUNTIF(Дела!$A:$A,ROW()-1)&gt;0,VLOOKUP(ROW()-1,Дела!$A:$F,6,0),"")</f>
        <v/>
      </c>
      <c r="C441" s="11" t="str">
        <f>IF(COUNTIF(Дела!$A:$A,ROW()-1)&gt;0,VLOOKUP(ROW()-1,Дела!$A:$G,7,0),"")</f>
        <v/>
      </c>
      <c r="D441" s="11" t="str">
        <f>IF(COUNTIF(Дела!$A:$A,ROW()-1)&gt;0,VLOOKUP(ROW()-1,Дела!$A:$I,9,0),"")</f>
        <v/>
      </c>
      <c r="E441" s="11" t="str">
        <f t="shared" si="6"/>
        <v/>
      </c>
      <c r="F441" s="12" t="str">
        <f>IF(COUNTIF(Дела!$A:$A,ROW()-1)&gt;0,VLOOKUP(ROW()-1,Дела!$A:$M,13,0),"")</f>
        <v/>
      </c>
      <c r="G441" s="13" t="str">
        <f>IF(COUNTIF(Дела!$A:$A,ROW()-1)&gt;0,VLOOKUP(ROW()-1,Дела!$A:$N,14,0),"")</f>
        <v/>
      </c>
      <c r="H441" s="11" t="str">
        <f>IF(COUNTIF(Дела!$A:$A,ROW()-1)&gt;0,VLOOKUP(ROW()-1,Дела!$A:$K,11,0),"")</f>
        <v/>
      </c>
    </row>
    <row r="442" spans="1:8" x14ac:dyDescent="0.25">
      <c r="A442" s="11" t="str">
        <f>IF(COUNTIF(Дела!$A:$A,ROW()-1)&gt;0,VLOOKUP(ROW()-1,Дела!$A:$C,3,0),"")</f>
        <v/>
      </c>
      <c r="B442" s="11" t="str">
        <f>IF(COUNTIF(Дела!$A:$A,ROW()-1)&gt;0,VLOOKUP(ROW()-1,Дела!$A:$F,6,0),"")</f>
        <v/>
      </c>
      <c r="C442" s="11" t="str">
        <f>IF(COUNTIF(Дела!$A:$A,ROW()-1)&gt;0,VLOOKUP(ROW()-1,Дела!$A:$G,7,0),"")</f>
        <v/>
      </c>
      <c r="D442" s="11" t="str">
        <f>IF(COUNTIF(Дела!$A:$A,ROW()-1)&gt;0,VLOOKUP(ROW()-1,Дела!$A:$I,9,0),"")</f>
        <v/>
      </c>
      <c r="E442" s="11" t="str">
        <f t="shared" si="6"/>
        <v/>
      </c>
      <c r="F442" s="12" t="str">
        <f>IF(COUNTIF(Дела!$A:$A,ROW()-1)&gt;0,VLOOKUP(ROW()-1,Дела!$A:$M,13,0),"")</f>
        <v/>
      </c>
      <c r="G442" s="13" t="str">
        <f>IF(COUNTIF(Дела!$A:$A,ROW()-1)&gt;0,VLOOKUP(ROW()-1,Дела!$A:$N,14,0),"")</f>
        <v/>
      </c>
      <c r="H442" s="11" t="str">
        <f>IF(COUNTIF(Дела!$A:$A,ROW()-1)&gt;0,VLOOKUP(ROW()-1,Дела!$A:$K,11,0),"")</f>
        <v/>
      </c>
    </row>
    <row r="443" spans="1:8" x14ac:dyDescent="0.25">
      <c r="A443" s="11" t="str">
        <f>IF(COUNTIF(Дела!$A:$A,ROW()-1)&gt;0,VLOOKUP(ROW()-1,Дела!$A:$C,3,0),"")</f>
        <v/>
      </c>
      <c r="B443" s="11" t="str">
        <f>IF(COUNTIF(Дела!$A:$A,ROW()-1)&gt;0,VLOOKUP(ROW()-1,Дела!$A:$F,6,0),"")</f>
        <v/>
      </c>
      <c r="C443" s="11" t="str">
        <f>IF(COUNTIF(Дела!$A:$A,ROW()-1)&gt;0,VLOOKUP(ROW()-1,Дела!$A:$G,7,0),"")</f>
        <v/>
      </c>
      <c r="D443" s="11" t="str">
        <f>IF(COUNTIF(Дела!$A:$A,ROW()-1)&gt;0,VLOOKUP(ROW()-1,Дела!$A:$I,9,0),"")</f>
        <v/>
      </c>
      <c r="E443" s="11" t="str">
        <f t="shared" si="6"/>
        <v/>
      </c>
      <c r="F443" s="12" t="str">
        <f>IF(COUNTIF(Дела!$A:$A,ROW()-1)&gt;0,VLOOKUP(ROW()-1,Дела!$A:$M,13,0),"")</f>
        <v/>
      </c>
      <c r="G443" s="13" t="str">
        <f>IF(COUNTIF(Дела!$A:$A,ROW()-1)&gt;0,VLOOKUP(ROW()-1,Дела!$A:$N,14,0),"")</f>
        <v/>
      </c>
      <c r="H443" s="11" t="str">
        <f>IF(COUNTIF(Дела!$A:$A,ROW()-1)&gt;0,VLOOKUP(ROW()-1,Дела!$A:$K,11,0),"")</f>
        <v/>
      </c>
    </row>
    <row r="444" spans="1:8" x14ac:dyDescent="0.25">
      <c r="A444" s="11" t="str">
        <f>IF(COUNTIF(Дела!$A:$A,ROW()-1)&gt;0,VLOOKUP(ROW()-1,Дела!$A:$C,3,0),"")</f>
        <v/>
      </c>
      <c r="B444" s="11" t="str">
        <f>IF(COUNTIF(Дела!$A:$A,ROW()-1)&gt;0,VLOOKUP(ROW()-1,Дела!$A:$F,6,0),"")</f>
        <v/>
      </c>
      <c r="C444" s="11" t="str">
        <f>IF(COUNTIF(Дела!$A:$A,ROW()-1)&gt;0,VLOOKUP(ROW()-1,Дела!$A:$G,7,0),"")</f>
        <v/>
      </c>
      <c r="D444" s="11" t="str">
        <f>IF(COUNTIF(Дела!$A:$A,ROW()-1)&gt;0,VLOOKUP(ROW()-1,Дела!$A:$I,9,0),"")</f>
        <v/>
      </c>
      <c r="E444" s="11" t="str">
        <f t="shared" si="6"/>
        <v/>
      </c>
      <c r="F444" s="12" t="str">
        <f>IF(COUNTIF(Дела!$A:$A,ROW()-1)&gt;0,VLOOKUP(ROW()-1,Дела!$A:$M,13,0),"")</f>
        <v/>
      </c>
      <c r="G444" s="13" t="str">
        <f>IF(COUNTIF(Дела!$A:$A,ROW()-1)&gt;0,VLOOKUP(ROW()-1,Дела!$A:$N,14,0),"")</f>
        <v/>
      </c>
      <c r="H444" s="11" t="str">
        <f>IF(COUNTIF(Дела!$A:$A,ROW()-1)&gt;0,VLOOKUP(ROW()-1,Дела!$A:$K,11,0),"")</f>
        <v/>
      </c>
    </row>
    <row r="445" spans="1:8" x14ac:dyDescent="0.25">
      <c r="A445" s="11" t="str">
        <f>IF(COUNTIF(Дела!$A:$A,ROW()-1)&gt;0,VLOOKUP(ROW()-1,Дела!$A:$C,3,0),"")</f>
        <v/>
      </c>
      <c r="B445" s="11" t="str">
        <f>IF(COUNTIF(Дела!$A:$A,ROW()-1)&gt;0,VLOOKUP(ROW()-1,Дела!$A:$F,6,0),"")</f>
        <v/>
      </c>
      <c r="C445" s="11" t="str">
        <f>IF(COUNTIF(Дела!$A:$A,ROW()-1)&gt;0,VLOOKUP(ROW()-1,Дела!$A:$G,7,0),"")</f>
        <v/>
      </c>
      <c r="D445" s="11" t="str">
        <f>IF(COUNTIF(Дела!$A:$A,ROW()-1)&gt;0,VLOOKUP(ROW()-1,Дела!$A:$I,9,0),"")</f>
        <v/>
      </c>
      <c r="E445" s="11" t="str">
        <f t="shared" si="6"/>
        <v/>
      </c>
      <c r="F445" s="12" t="str">
        <f>IF(COUNTIF(Дела!$A:$A,ROW()-1)&gt;0,VLOOKUP(ROW()-1,Дела!$A:$M,13,0),"")</f>
        <v/>
      </c>
      <c r="G445" s="13" t="str">
        <f>IF(COUNTIF(Дела!$A:$A,ROW()-1)&gt;0,VLOOKUP(ROW()-1,Дела!$A:$N,14,0),"")</f>
        <v/>
      </c>
      <c r="H445" s="11" t="str">
        <f>IF(COUNTIF(Дела!$A:$A,ROW()-1)&gt;0,VLOOKUP(ROW()-1,Дела!$A:$K,11,0),"")</f>
        <v/>
      </c>
    </row>
    <row r="446" spans="1:8" x14ac:dyDescent="0.25">
      <c r="A446" s="11" t="str">
        <f>IF(COUNTIF(Дела!$A:$A,ROW()-1)&gt;0,VLOOKUP(ROW()-1,Дела!$A:$C,3,0),"")</f>
        <v/>
      </c>
      <c r="B446" s="11" t="str">
        <f>IF(COUNTIF(Дела!$A:$A,ROW()-1)&gt;0,VLOOKUP(ROW()-1,Дела!$A:$F,6,0),"")</f>
        <v/>
      </c>
      <c r="C446" s="11" t="str">
        <f>IF(COUNTIF(Дела!$A:$A,ROW()-1)&gt;0,VLOOKUP(ROW()-1,Дела!$A:$G,7,0),"")</f>
        <v/>
      </c>
      <c r="D446" s="11" t="str">
        <f>IF(COUNTIF(Дела!$A:$A,ROW()-1)&gt;0,VLOOKUP(ROW()-1,Дела!$A:$I,9,0),"")</f>
        <v/>
      </c>
      <c r="E446" s="11" t="str">
        <f t="shared" si="6"/>
        <v/>
      </c>
      <c r="F446" s="12" t="str">
        <f>IF(COUNTIF(Дела!$A:$A,ROW()-1)&gt;0,VLOOKUP(ROW()-1,Дела!$A:$M,13,0),"")</f>
        <v/>
      </c>
      <c r="G446" s="13" t="str">
        <f>IF(COUNTIF(Дела!$A:$A,ROW()-1)&gt;0,VLOOKUP(ROW()-1,Дела!$A:$N,14,0),"")</f>
        <v/>
      </c>
      <c r="H446" s="11" t="str">
        <f>IF(COUNTIF(Дела!$A:$A,ROW()-1)&gt;0,VLOOKUP(ROW()-1,Дела!$A:$K,11,0),"")</f>
        <v/>
      </c>
    </row>
    <row r="447" spans="1:8" x14ac:dyDescent="0.25">
      <c r="A447" s="11" t="str">
        <f>IF(COUNTIF(Дела!$A:$A,ROW()-1)&gt;0,VLOOKUP(ROW()-1,Дела!$A:$C,3,0),"")</f>
        <v/>
      </c>
      <c r="B447" s="11" t="str">
        <f>IF(COUNTIF(Дела!$A:$A,ROW()-1)&gt;0,VLOOKUP(ROW()-1,Дела!$A:$F,6,0),"")</f>
        <v/>
      </c>
      <c r="C447" s="11" t="str">
        <f>IF(COUNTIF(Дела!$A:$A,ROW()-1)&gt;0,VLOOKUP(ROW()-1,Дела!$A:$G,7,0),"")</f>
        <v/>
      </c>
      <c r="D447" s="11" t="str">
        <f>IF(COUNTIF(Дела!$A:$A,ROW()-1)&gt;0,VLOOKUP(ROW()-1,Дела!$A:$I,9,0),"")</f>
        <v/>
      </c>
      <c r="E447" s="11" t="str">
        <f t="shared" si="6"/>
        <v/>
      </c>
      <c r="F447" s="12" t="str">
        <f>IF(COUNTIF(Дела!$A:$A,ROW()-1)&gt;0,VLOOKUP(ROW()-1,Дела!$A:$M,13,0),"")</f>
        <v/>
      </c>
      <c r="G447" s="13" t="str">
        <f>IF(COUNTIF(Дела!$A:$A,ROW()-1)&gt;0,VLOOKUP(ROW()-1,Дела!$A:$N,14,0),"")</f>
        <v/>
      </c>
      <c r="H447" s="11" t="str">
        <f>IF(COUNTIF(Дела!$A:$A,ROW()-1)&gt;0,VLOOKUP(ROW()-1,Дела!$A:$K,11,0),"")</f>
        <v/>
      </c>
    </row>
    <row r="448" spans="1:8" x14ac:dyDescent="0.25">
      <c r="A448" s="11" t="str">
        <f>IF(COUNTIF(Дела!$A:$A,ROW()-1)&gt;0,VLOOKUP(ROW()-1,Дела!$A:$C,3,0),"")</f>
        <v/>
      </c>
      <c r="B448" s="11" t="str">
        <f>IF(COUNTIF(Дела!$A:$A,ROW()-1)&gt;0,VLOOKUP(ROW()-1,Дела!$A:$F,6,0),"")</f>
        <v/>
      </c>
      <c r="C448" s="11" t="str">
        <f>IF(COUNTIF(Дела!$A:$A,ROW()-1)&gt;0,VLOOKUP(ROW()-1,Дела!$A:$G,7,0),"")</f>
        <v/>
      </c>
      <c r="D448" s="11" t="str">
        <f>IF(COUNTIF(Дела!$A:$A,ROW()-1)&gt;0,VLOOKUP(ROW()-1,Дела!$A:$I,9,0),"")</f>
        <v/>
      </c>
      <c r="E448" s="11" t="str">
        <f t="shared" si="6"/>
        <v/>
      </c>
      <c r="F448" s="12" t="str">
        <f>IF(COUNTIF(Дела!$A:$A,ROW()-1)&gt;0,VLOOKUP(ROW()-1,Дела!$A:$M,13,0),"")</f>
        <v/>
      </c>
      <c r="G448" s="13" t="str">
        <f>IF(COUNTIF(Дела!$A:$A,ROW()-1)&gt;0,VLOOKUP(ROW()-1,Дела!$A:$N,14,0),"")</f>
        <v/>
      </c>
      <c r="H448" s="11" t="str">
        <f>IF(COUNTIF(Дела!$A:$A,ROW()-1)&gt;0,VLOOKUP(ROW()-1,Дела!$A:$K,11,0),"")</f>
        <v/>
      </c>
    </row>
    <row r="449" spans="1:8" x14ac:dyDescent="0.25">
      <c r="A449" s="11" t="str">
        <f>IF(COUNTIF(Дела!$A:$A,ROW()-1)&gt;0,VLOOKUP(ROW()-1,Дела!$A:$C,3,0),"")</f>
        <v/>
      </c>
      <c r="B449" s="11" t="str">
        <f>IF(COUNTIF(Дела!$A:$A,ROW()-1)&gt;0,VLOOKUP(ROW()-1,Дела!$A:$F,6,0),"")</f>
        <v/>
      </c>
      <c r="C449" s="11" t="str">
        <f>IF(COUNTIF(Дела!$A:$A,ROW()-1)&gt;0,VLOOKUP(ROW()-1,Дела!$A:$G,7,0),"")</f>
        <v/>
      </c>
      <c r="D449" s="11" t="str">
        <f>IF(COUNTIF(Дела!$A:$A,ROW()-1)&gt;0,VLOOKUP(ROW()-1,Дела!$A:$I,9,0),"")</f>
        <v/>
      </c>
      <c r="E449" s="11" t="str">
        <f t="shared" si="6"/>
        <v/>
      </c>
      <c r="F449" s="12" t="str">
        <f>IF(COUNTIF(Дела!$A:$A,ROW()-1)&gt;0,VLOOKUP(ROW()-1,Дела!$A:$M,13,0),"")</f>
        <v/>
      </c>
      <c r="G449" s="13" t="str">
        <f>IF(COUNTIF(Дела!$A:$A,ROW()-1)&gt;0,VLOOKUP(ROW()-1,Дела!$A:$N,14,0),"")</f>
        <v/>
      </c>
      <c r="H449" s="11" t="str">
        <f>IF(COUNTIF(Дела!$A:$A,ROW()-1)&gt;0,VLOOKUP(ROW()-1,Дела!$A:$K,11,0),"")</f>
        <v/>
      </c>
    </row>
    <row r="450" spans="1:8" x14ac:dyDescent="0.25">
      <c r="A450" s="11" t="str">
        <f>IF(COUNTIF(Дела!$A:$A,ROW()-1)&gt;0,VLOOKUP(ROW()-1,Дела!$A:$C,3,0),"")</f>
        <v/>
      </c>
      <c r="B450" s="11" t="str">
        <f>IF(COUNTIF(Дела!$A:$A,ROW()-1)&gt;0,VLOOKUP(ROW()-1,Дела!$A:$F,6,0),"")</f>
        <v/>
      </c>
      <c r="C450" s="11" t="str">
        <f>IF(COUNTIF(Дела!$A:$A,ROW()-1)&gt;0,VLOOKUP(ROW()-1,Дела!$A:$G,7,0),"")</f>
        <v/>
      </c>
      <c r="D450" s="11" t="str">
        <f>IF(COUNTIF(Дела!$A:$A,ROW()-1)&gt;0,VLOOKUP(ROW()-1,Дела!$A:$I,9,0),"")</f>
        <v/>
      </c>
      <c r="E450" s="11" t="str">
        <f t="shared" si="6"/>
        <v/>
      </c>
      <c r="F450" s="12" t="str">
        <f>IF(COUNTIF(Дела!$A:$A,ROW()-1)&gt;0,VLOOKUP(ROW()-1,Дела!$A:$M,13,0),"")</f>
        <v/>
      </c>
      <c r="G450" s="13" t="str">
        <f>IF(COUNTIF(Дела!$A:$A,ROW()-1)&gt;0,VLOOKUP(ROW()-1,Дела!$A:$N,14,0),"")</f>
        <v/>
      </c>
      <c r="H450" s="11" t="str">
        <f>IF(COUNTIF(Дела!$A:$A,ROW()-1)&gt;0,VLOOKUP(ROW()-1,Дела!$A:$K,11,0),"")</f>
        <v/>
      </c>
    </row>
    <row r="451" spans="1:8" x14ac:dyDescent="0.25">
      <c r="A451" s="11" t="str">
        <f>IF(COUNTIF(Дела!$A:$A,ROW()-1)&gt;0,VLOOKUP(ROW()-1,Дела!$A:$C,3,0),"")</f>
        <v/>
      </c>
      <c r="B451" s="11" t="str">
        <f>IF(COUNTIF(Дела!$A:$A,ROW()-1)&gt;0,VLOOKUP(ROW()-1,Дела!$A:$F,6,0),"")</f>
        <v/>
      </c>
      <c r="C451" s="11" t="str">
        <f>IF(COUNTIF(Дела!$A:$A,ROW()-1)&gt;0,VLOOKUP(ROW()-1,Дела!$A:$G,7,0),"")</f>
        <v/>
      </c>
      <c r="D451" s="11" t="str">
        <f>IF(COUNTIF(Дела!$A:$A,ROW()-1)&gt;0,VLOOKUP(ROW()-1,Дела!$A:$I,9,0),"")</f>
        <v/>
      </c>
      <c r="E451" s="11" t="str">
        <f t="shared" ref="E451:E514" si="7">IF(H451="","",MID(H451,SEARCH(" ",H451)+1,1000))</f>
        <v/>
      </c>
      <c r="F451" s="12" t="str">
        <f>IF(COUNTIF(Дела!$A:$A,ROW()-1)&gt;0,VLOOKUP(ROW()-1,Дела!$A:$M,13,0),"")</f>
        <v/>
      </c>
      <c r="G451" s="13" t="str">
        <f>IF(COUNTIF(Дела!$A:$A,ROW()-1)&gt;0,VLOOKUP(ROW()-1,Дела!$A:$N,14,0),"")</f>
        <v/>
      </c>
      <c r="H451" s="11" t="str">
        <f>IF(COUNTIF(Дела!$A:$A,ROW()-1)&gt;0,VLOOKUP(ROW()-1,Дела!$A:$K,11,0),"")</f>
        <v/>
      </c>
    </row>
    <row r="452" spans="1:8" x14ac:dyDescent="0.25">
      <c r="A452" s="11" t="str">
        <f>IF(COUNTIF(Дела!$A:$A,ROW()-1)&gt;0,VLOOKUP(ROW()-1,Дела!$A:$C,3,0),"")</f>
        <v/>
      </c>
      <c r="B452" s="11" t="str">
        <f>IF(COUNTIF(Дела!$A:$A,ROW()-1)&gt;0,VLOOKUP(ROW()-1,Дела!$A:$F,6,0),"")</f>
        <v/>
      </c>
      <c r="C452" s="11" t="str">
        <f>IF(COUNTIF(Дела!$A:$A,ROW()-1)&gt;0,VLOOKUP(ROW()-1,Дела!$A:$G,7,0),"")</f>
        <v/>
      </c>
      <c r="D452" s="11" t="str">
        <f>IF(COUNTIF(Дела!$A:$A,ROW()-1)&gt;0,VLOOKUP(ROW()-1,Дела!$A:$I,9,0),"")</f>
        <v/>
      </c>
      <c r="E452" s="11" t="str">
        <f t="shared" si="7"/>
        <v/>
      </c>
      <c r="F452" s="12" t="str">
        <f>IF(COUNTIF(Дела!$A:$A,ROW()-1)&gt;0,VLOOKUP(ROW()-1,Дела!$A:$M,13,0),"")</f>
        <v/>
      </c>
      <c r="G452" s="13" t="str">
        <f>IF(COUNTIF(Дела!$A:$A,ROW()-1)&gt;0,VLOOKUP(ROW()-1,Дела!$A:$N,14,0),"")</f>
        <v/>
      </c>
      <c r="H452" s="11" t="str">
        <f>IF(COUNTIF(Дела!$A:$A,ROW()-1)&gt;0,VLOOKUP(ROW()-1,Дела!$A:$K,11,0),"")</f>
        <v/>
      </c>
    </row>
    <row r="453" spans="1:8" x14ac:dyDescent="0.25">
      <c r="A453" s="11" t="str">
        <f>IF(COUNTIF(Дела!$A:$A,ROW()-1)&gt;0,VLOOKUP(ROW()-1,Дела!$A:$C,3,0),"")</f>
        <v/>
      </c>
      <c r="B453" s="11" t="str">
        <f>IF(COUNTIF(Дела!$A:$A,ROW()-1)&gt;0,VLOOKUP(ROW()-1,Дела!$A:$F,6,0),"")</f>
        <v/>
      </c>
      <c r="C453" s="11" t="str">
        <f>IF(COUNTIF(Дела!$A:$A,ROW()-1)&gt;0,VLOOKUP(ROW()-1,Дела!$A:$G,7,0),"")</f>
        <v/>
      </c>
      <c r="D453" s="11" t="str">
        <f>IF(COUNTIF(Дела!$A:$A,ROW()-1)&gt;0,VLOOKUP(ROW()-1,Дела!$A:$I,9,0),"")</f>
        <v/>
      </c>
      <c r="E453" s="11" t="str">
        <f t="shared" si="7"/>
        <v/>
      </c>
      <c r="F453" s="12" t="str">
        <f>IF(COUNTIF(Дела!$A:$A,ROW()-1)&gt;0,VLOOKUP(ROW()-1,Дела!$A:$M,13,0),"")</f>
        <v/>
      </c>
      <c r="G453" s="13" t="str">
        <f>IF(COUNTIF(Дела!$A:$A,ROW()-1)&gt;0,VLOOKUP(ROW()-1,Дела!$A:$N,14,0),"")</f>
        <v/>
      </c>
      <c r="H453" s="11" t="str">
        <f>IF(COUNTIF(Дела!$A:$A,ROW()-1)&gt;0,VLOOKUP(ROW()-1,Дела!$A:$K,11,0),"")</f>
        <v/>
      </c>
    </row>
    <row r="454" spans="1:8" x14ac:dyDescent="0.25">
      <c r="A454" s="11" t="str">
        <f>IF(COUNTIF(Дела!$A:$A,ROW()-1)&gt;0,VLOOKUP(ROW()-1,Дела!$A:$C,3,0),"")</f>
        <v/>
      </c>
      <c r="B454" s="11" t="str">
        <f>IF(COUNTIF(Дела!$A:$A,ROW()-1)&gt;0,VLOOKUP(ROW()-1,Дела!$A:$F,6,0),"")</f>
        <v/>
      </c>
      <c r="C454" s="11" t="str">
        <f>IF(COUNTIF(Дела!$A:$A,ROW()-1)&gt;0,VLOOKUP(ROW()-1,Дела!$A:$G,7,0),"")</f>
        <v/>
      </c>
      <c r="D454" s="11" t="str">
        <f>IF(COUNTIF(Дела!$A:$A,ROW()-1)&gt;0,VLOOKUP(ROW()-1,Дела!$A:$I,9,0),"")</f>
        <v/>
      </c>
      <c r="E454" s="11" t="str">
        <f t="shared" si="7"/>
        <v/>
      </c>
      <c r="F454" s="12" t="str">
        <f>IF(COUNTIF(Дела!$A:$A,ROW()-1)&gt;0,VLOOKUP(ROW()-1,Дела!$A:$M,13,0),"")</f>
        <v/>
      </c>
      <c r="G454" s="13" t="str">
        <f>IF(COUNTIF(Дела!$A:$A,ROW()-1)&gt;0,VLOOKUP(ROW()-1,Дела!$A:$N,14,0),"")</f>
        <v/>
      </c>
      <c r="H454" s="11" t="str">
        <f>IF(COUNTIF(Дела!$A:$A,ROW()-1)&gt;0,VLOOKUP(ROW()-1,Дела!$A:$K,11,0),"")</f>
        <v/>
      </c>
    </row>
    <row r="455" spans="1:8" x14ac:dyDescent="0.25">
      <c r="A455" s="11" t="str">
        <f>IF(COUNTIF(Дела!$A:$A,ROW()-1)&gt;0,VLOOKUP(ROW()-1,Дела!$A:$C,3,0),"")</f>
        <v/>
      </c>
      <c r="B455" s="11" t="str">
        <f>IF(COUNTIF(Дела!$A:$A,ROW()-1)&gt;0,VLOOKUP(ROW()-1,Дела!$A:$F,6,0),"")</f>
        <v/>
      </c>
      <c r="C455" s="11" t="str">
        <f>IF(COUNTIF(Дела!$A:$A,ROW()-1)&gt;0,VLOOKUP(ROW()-1,Дела!$A:$G,7,0),"")</f>
        <v/>
      </c>
      <c r="D455" s="11" t="str">
        <f>IF(COUNTIF(Дела!$A:$A,ROW()-1)&gt;0,VLOOKUP(ROW()-1,Дела!$A:$I,9,0),"")</f>
        <v/>
      </c>
      <c r="E455" s="11" t="str">
        <f t="shared" si="7"/>
        <v/>
      </c>
      <c r="F455" s="12" t="str">
        <f>IF(COUNTIF(Дела!$A:$A,ROW()-1)&gt;0,VLOOKUP(ROW()-1,Дела!$A:$M,13,0),"")</f>
        <v/>
      </c>
      <c r="G455" s="13" t="str">
        <f>IF(COUNTIF(Дела!$A:$A,ROW()-1)&gt;0,VLOOKUP(ROW()-1,Дела!$A:$N,14,0),"")</f>
        <v/>
      </c>
      <c r="H455" s="11" t="str">
        <f>IF(COUNTIF(Дела!$A:$A,ROW()-1)&gt;0,VLOOKUP(ROW()-1,Дела!$A:$K,11,0),"")</f>
        <v/>
      </c>
    </row>
    <row r="456" spans="1:8" x14ac:dyDescent="0.25">
      <c r="A456" s="11" t="str">
        <f>IF(COUNTIF(Дела!$A:$A,ROW()-1)&gt;0,VLOOKUP(ROW()-1,Дела!$A:$C,3,0),"")</f>
        <v/>
      </c>
      <c r="B456" s="11" t="str">
        <f>IF(COUNTIF(Дела!$A:$A,ROW()-1)&gt;0,VLOOKUP(ROW()-1,Дела!$A:$F,6,0),"")</f>
        <v/>
      </c>
      <c r="C456" s="11" t="str">
        <f>IF(COUNTIF(Дела!$A:$A,ROW()-1)&gt;0,VLOOKUP(ROW()-1,Дела!$A:$G,7,0),"")</f>
        <v/>
      </c>
      <c r="D456" s="11" t="str">
        <f>IF(COUNTIF(Дела!$A:$A,ROW()-1)&gt;0,VLOOKUP(ROW()-1,Дела!$A:$I,9,0),"")</f>
        <v/>
      </c>
      <c r="E456" s="11" t="str">
        <f t="shared" si="7"/>
        <v/>
      </c>
      <c r="F456" s="12" t="str">
        <f>IF(COUNTIF(Дела!$A:$A,ROW()-1)&gt;0,VLOOKUP(ROW()-1,Дела!$A:$M,13,0),"")</f>
        <v/>
      </c>
      <c r="G456" s="13" t="str">
        <f>IF(COUNTIF(Дела!$A:$A,ROW()-1)&gt;0,VLOOKUP(ROW()-1,Дела!$A:$N,14,0),"")</f>
        <v/>
      </c>
      <c r="H456" s="11" t="str">
        <f>IF(COUNTIF(Дела!$A:$A,ROW()-1)&gt;0,VLOOKUP(ROW()-1,Дела!$A:$K,11,0),"")</f>
        <v/>
      </c>
    </row>
    <row r="457" spans="1:8" x14ac:dyDescent="0.25">
      <c r="A457" s="11" t="str">
        <f>IF(COUNTIF(Дела!$A:$A,ROW()-1)&gt;0,VLOOKUP(ROW()-1,Дела!$A:$C,3,0),"")</f>
        <v/>
      </c>
      <c r="B457" s="11" t="str">
        <f>IF(COUNTIF(Дела!$A:$A,ROW()-1)&gt;0,VLOOKUP(ROW()-1,Дела!$A:$F,6,0),"")</f>
        <v/>
      </c>
      <c r="C457" s="11" t="str">
        <f>IF(COUNTIF(Дела!$A:$A,ROW()-1)&gt;0,VLOOKUP(ROW()-1,Дела!$A:$G,7,0),"")</f>
        <v/>
      </c>
      <c r="D457" s="11" t="str">
        <f>IF(COUNTIF(Дела!$A:$A,ROW()-1)&gt;0,VLOOKUP(ROW()-1,Дела!$A:$I,9,0),"")</f>
        <v/>
      </c>
      <c r="E457" s="11" t="str">
        <f t="shared" si="7"/>
        <v/>
      </c>
      <c r="F457" s="12" t="str">
        <f>IF(COUNTIF(Дела!$A:$A,ROW()-1)&gt;0,VLOOKUP(ROW()-1,Дела!$A:$M,13,0),"")</f>
        <v/>
      </c>
      <c r="G457" s="13" t="str">
        <f>IF(COUNTIF(Дела!$A:$A,ROW()-1)&gt;0,VLOOKUP(ROW()-1,Дела!$A:$N,14,0),"")</f>
        <v/>
      </c>
      <c r="H457" s="11" t="str">
        <f>IF(COUNTIF(Дела!$A:$A,ROW()-1)&gt;0,VLOOKUP(ROW()-1,Дела!$A:$K,11,0),"")</f>
        <v/>
      </c>
    </row>
    <row r="458" spans="1:8" x14ac:dyDescent="0.25">
      <c r="A458" s="11" t="str">
        <f>IF(COUNTIF(Дела!$A:$A,ROW()-1)&gt;0,VLOOKUP(ROW()-1,Дела!$A:$C,3,0),"")</f>
        <v/>
      </c>
      <c r="B458" s="11" t="str">
        <f>IF(COUNTIF(Дела!$A:$A,ROW()-1)&gt;0,VLOOKUP(ROW()-1,Дела!$A:$F,6,0),"")</f>
        <v/>
      </c>
      <c r="C458" s="11" t="str">
        <f>IF(COUNTIF(Дела!$A:$A,ROW()-1)&gt;0,VLOOKUP(ROW()-1,Дела!$A:$G,7,0),"")</f>
        <v/>
      </c>
      <c r="D458" s="11" t="str">
        <f>IF(COUNTIF(Дела!$A:$A,ROW()-1)&gt;0,VLOOKUP(ROW()-1,Дела!$A:$I,9,0),"")</f>
        <v/>
      </c>
      <c r="E458" s="11" t="str">
        <f t="shared" si="7"/>
        <v/>
      </c>
      <c r="F458" s="12" t="str">
        <f>IF(COUNTIF(Дела!$A:$A,ROW()-1)&gt;0,VLOOKUP(ROW()-1,Дела!$A:$M,13,0),"")</f>
        <v/>
      </c>
      <c r="G458" s="13" t="str">
        <f>IF(COUNTIF(Дела!$A:$A,ROW()-1)&gt;0,VLOOKUP(ROW()-1,Дела!$A:$N,14,0),"")</f>
        <v/>
      </c>
      <c r="H458" s="11" t="str">
        <f>IF(COUNTIF(Дела!$A:$A,ROW()-1)&gt;0,VLOOKUP(ROW()-1,Дела!$A:$K,11,0),"")</f>
        <v/>
      </c>
    </row>
    <row r="459" spans="1:8" x14ac:dyDescent="0.25">
      <c r="A459" s="11" t="str">
        <f>IF(COUNTIF(Дела!$A:$A,ROW()-1)&gt;0,VLOOKUP(ROW()-1,Дела!$A:$C,3,0),"")</f>
        <v/>
      </c>
      <c r="B459" s="11" t="str">
        <f>IF(COUNTIF(Дела!$A:$A,ROW()-1)&gt;0,VLOOKUP(ROW()-1,Дела!$A:$F,6,0),"")</f>
        <v/>
      </c>
      <c r="C459" s="11" t="str">
        <f>IF(COUNTIF(Дела!$A:$A,ROW()-1)&gt;0,VLOOKUP(ROW()-1,Дела!$A:$G,7,0),"")</f>
        <v/>
      </c>
      <c r="D459" s="11" t="str">
        <f>IF(COUNTIF(Дела!$A:$A,ROW()-1)&gt;0,VLOOKUP(ROW()-1,Дела!$A:$I,9,0),"")</f>
        <v/>
      </c>
      <c r="E459" s="11" t="str">
        <f t="shared" si="7"/>
        <v/>
      </c>
      <c r="F459" s="12" t="str">
        <f>IF(COUNTIF(Дела!$A:$A,ROW()-1)&gt;0,VLOOKUP(ROW()-1,Дела!$A:$M,13,0),"")</f>
        <v/>
      </c>
      <c r="G459" s="13" t="str">
        <f>IF(COUNTIF(Дела!$A:$A,ROW()-1)&gt;0,VLOOKUP(ROW()-1,Дела!$A:$N,14,0),"")</f>
        <v/>
      </c>
      <c r="H459" s="11" t="str">
        <f>IF(COUNTIF(Дела!$A:$A,ROW()-1)&gt;0,VLOOKUP(ROW()-1,Дела!$A:$K,11,0),"")</f>
        <v/>
      </c>
    </row>
    <row r="460" spans="1:8" x14ac:dyDescent="0.25">
      <c r="A460" s="11" t="str">
        <f>IF(COUNTIF(Дела!$A:$A,ROW()-1)&gt;0,VLOOKUP(ROW()-1,Дела!$A:$C,3,0),"")</f>
        <v/>
      </c>
      <c r="B460" s="11" t="str">
        <f>IF(COUNTIF(Дела!$A:$A,ROW()-1)&gt;0,VLOOKUP(ROW()-1,Дела!$A:$F,6,0),"")</f>
        <v/>
      </c>
      <c r="C460" s="11" t="str">
        <f>IF(COUNTIF(Дела!$A:$A,ROW()-1)&gt;0,VLOOKUP(ROW()-1,Дела!$A:$G,7,0),"")</f>
        <v/>
      </c>
      <c r="D460" s="11" t="str">
        <f>IF(COUNTIF(Дела!$A:$A,ROW()-1)&gt;0,VLOOKUP(ROW()-1,Дела!$A:$I,9,0),"")</f>
        <v/>
      </c>
      <c r="E460" s="11" t="str">
        <f t="shared" si="7"/>
        <v/>
      </c>
      <c r="F460" s="12" t="str">
        <f>IF(COUNTIF(Дела!$A:$A,ROW()-1)&gt;0,VLOOKUP(ROW()-1,Дела!$A:$M,13,0),"")</f>
        <v/>
      </c>
      <c r="G460" s="13" t="str">
        <f>IF(COUNTIF(Дела!$A:$A,ROW()-1)&gt;0,VLOOKUP(ROW()-1,Дела!$A:$N,14,0),"")</f>
        <v/>
      </c>
      <c r="H460" s="11" t="str">
        <f>IF(COUNTIF(Дела!$A:$A,ROW()-1)&gt;0,VLOOKUP(ROW()-1,Дела!$A:$K,11,0),"")</f>
        <v/>
      </c>
    </row>
    <row r="461" spans="1:8" x14ac:dyDescent="0.25">
      <c r="A461" s="11" t="str">
        <f>IF(COUNTIF(Дела!$A:$A,ROW()-1)&gt;0,VLOOKUP(ROW()-1,Дела!$A:$C,3,0),"")</f>
        <v/>
      </c>
      <c r="B461" s="11" t="str">
        <f>IF(COUNTIF(Дела!$A:$A,ROW()-1)&gt;0,VLOOKUP(ROW()-1,Дела!$A:$F,6,0),"")</f>
        <v/>
      </c>
      <c r="C461" s="11" t="str">
        <f>IF(COUNTIF(Дела!$A:$A,ROW()-1)&gt;0,VLOOKUP(ROW()-1,Дела!$A:$G,7,0),"")</f>
        <v/>
      </c>
      <c r="D461" s="11" t="str">
        <f>IF(COUNTIF(Дела!$A:$A,ROW()-1)&gt;0,VLOOKUP(ROW()-1,Дела!$A:$I,9,0),"")</f>
        <v/>
      </c>
      <c r="E461" s="11" t="str">
        <f t="shared" si="7"/>
        <v/>
      </c>
      <c r="F461" s="12" t="str">
        <f>IF(COUNTIF(Дела!$A:$A,ROW()-1)&gt;0,VLOOKUP(ROW()-1,Дела!$A:$M,13,0),"")</f>
        <v/>
      </c>
      <c r="G461" s="13" t="str">
        <f>IF(COUNTIF(Дела!$A:$A,ROW()-1)&gt;0,VLOOKUP(ROW()-1,Дела!$A:$N,14,0),"")</f>
        <v/>
      </c>
      <c r="H461" s="11" t="str">
        <f>IF(COUNTIF(Дела!$A:$A,ROW()-1)&gt;0,VLOOKUP(ROW()-1,Дела!$A:$K,11,0),"")</f>
        <v/>
      </c>
    </row>
    <row r="462" spans="1:8" x14ac:dyDescent="0.25">
      <c r="A462" s="11" t="str">
        <f>IF(COUNTIF(Дела!$A:$A,ROW()-1)&gt;0,VLOOKUP(ROW()-1,Дела!$A:$C,3,0),"")</f>
        <v/>
      </c>
      <c r="B462" s="11" t="str">
        <f>IF(COUNTIF(Дела!$A:$A,ROW()-1)&gt;0,VLOOKUP(ROW()-1,Дела!$A:$F,6,0),"")</f>
        <v/>
      </c>
      <c r="C462" s="11" t="str">
        <f>IF(COUNTIF(Дела!$A:$A,ROW()-1)&gt;0,VLOOKUP(ROW()-1,Дела!$A:$G,7,0),"")</f>
        <v/>
      </c>
      <c r="D462" s="11" t="str">
        <f>IF(COUNTIF(Дела!$A:$A,ROW()-1)&gt;0,VLOOKUP(ROW()-1,Дела!$A:$I,9,0),"")</f>
        <v/>
      </c>
      <c r="E462" s="11" t="str">
        <f t="shared" si="7"/>
        <v/>
      </c>
      <c r="F462" s="12" t="str">
        <f>IF(COUNTIF(Дела!$A:$A,ROW()-1)&gt;0,VLOOKUP(ROW()-1,Дела!$A:$M,13,0),"")</f>
        <v/>
      </c>
      <c r="G462" s="13" t="str">
        <f>IF(COUNTIF(Дела!$A:$A,ROW()-1)&gt;0,VLOOKUP(ROW()-1,Дела!$A:$N,14,0),"")</f>
        <v/>
      </c>
      <c r="H462" s="11" t="str">
        <f>IF(COUNTIF(Дела!$A:$A,ROW()-1)&gt;0,VLOOKUP(ROW()-1,Дела!$A:$K,11,0),"")</f>
        <v/>
      </c>
    </row>
    <row r="463" spans="1:8" x14ac:dyDescent="0.25">
      <c r="A463" s="11" t="str">
        <f>IF(COUNTIF(Дела!$A:$A,ROW()-1)&gt;0,VLOOKUP(ROW()-1,Дела!$A:$C,3,0),"")</f>
        <v/>
      </c>
      <c r="B463" s="11" t="str">
        <f>IF(COUNTIF(Дела!$A:$A,ROW()-1)&gt;0,VLOOKUP(ROW()-1,Дела!$A:$F,6,0),"")</f>
        <v/>
      </c>
      <c r="C463" s="11" t="str">
        <f>IF(COUNTIF(Дела!$A:$A,ROW()-1)&gt;0,VLOOKUP(ROW()-1,Дела!$A:$G,7,0),"")</f>
        <v/>
      </c>
      <c r="D463" s="11" t="str">
        <f>IF(COUNTIF(Дела!$A:$A,ROW()-1)&gt;0,VLOOKUP(ROW()-1,Дела!$A:$I,9,0),"")</f>
        <v/>
      </c>
      <c r="E463" s="11" t="str">
        <f t="shared" si="7"/>
        <v/>
      </c>
      <c r="F463" s="12" t="str">
        <f>IF(COUNTIF(Дела!$A:$A,ROW()-1)&gt;0,VLOOKUP(ROW()-1,Дела!$A:$M,13,0),"")</f>
        <v/>
      </c>
      <c r="G463" s="13" t="str">
        <f>IF(COUNTIF(Дела!$A:$A,ROW()-1)&gt;0,VLOOKUP(ROW()-1,Дела!$A:$N,14,0),"")</f>
        <v/>
      </c>
      <c r="H463" s="11" t="str">
        <f>IF(COUNTIF(Дела!$A:$A,ROW()-1)&gt;0,VLOOKUP(ROW()-1,Дела!$A:$K,11,0),"")</f>
        <v/>
      </c>
    </row>
    <row r="464" spans="1:8" x14ac:dyDescent="0.25">
      <c r="A464" s="11" t="str">
        <f>IF(COUNTIF(Дела!$A:$A,ROW()-1)&gt;0,VLOOKUP(ROW()-1,Дела!$A:$C,3,0),"")</f>
        <v/>
      </c>
      <c r="B464" s="11" t="str">
        <f>IF(COUNTIF(Дела!$A:$A,ROW()-1)&gt;0,VLOOKUP(ROW()-1,Дела!$A:$F,6,0),"")</f>
        <v/>
      </c>
      <c r="C464" s="11" t="str">
        <f>IF(COUNTIF(Дела!$A:$A,ROW()-1)&gt;0,VLOOKUP(ROW()-1,Дела!$A:$G,7,0),"")</f>
        <v/>
      </c>
      <c r="D464" s="11" t="str">
        <f>IF(COUNTIF(Дела!$A:$A,ROW()-1)&gt;0,VLOOKUP(ROW()-1,Дела!$A:$I,9,0),"")</f>
        <v/>
      </c>
      <c r="E464" s="11" t="str">
        <f t="shared" si="7"/>
        <v/>
      </c>
      <c r="F464" s="12" t="str">
        <f>IF(COUNTIF(Дела!$A:$A,ROW()-1)&gt;0,VLOOKUP(ROW()-1,Дела!$A:$M,13,0),"")</f>
        <v/>
      </c>
      <c r="G464" s="13" t="str">
        <f>IF(COUNTIF(Дела!$A:$A,ROW()-1)&gt;0,VLOOKUP(ROW()-1,Дела!$A:$N,14,0),"")</f>
        <v/>
      </c>
      <c r="H464" s="11" t="str">
        <f>IF(COUNTIF(Дела!$A:$A,ROW()-1)&gt;0,VLOOKUP(ROW()-1,Дела!$A:$K,11,0),"")</f>
        <v/>
      </c>
    </row>
    <row r="465" spans="1:8" x14ac:dyDescent="0.25">
      <c r="A465" s="11" t="str">
        <f>IF(COUNTIF(Дела!$A:$A,ROW()-1)&gt;0,VLOOKUP(ROW()-1,Дела!$A:$C,3,0),"")</f>
        <v/>
      </c>
      <c r="B465" s="11" t="str">
        <f>IF(COUNTIF(Дела!$A:$A,ROW()-1)&gt;0,VLOOKUP(ROW()-1,Дела!$A:$F,6,0),"")</f>
        <v/>
      </c>
      <c r="C465" s="11" t="str">
        <f>IF(COUNTIF(Дела!$A:$A,ROW()-1)&gt;0,VLOOKUP(ROW()-1,Дела!$A:$G,7,0),"")</f>
        <v/>
      </c>
      <c r="D465" s="11" t="str">
        <f>IF(COUNTIF(Дела!$A:$A,ROW()-1)&gt;0,VLOOKUP(ROW()-1,Дела!$A:$I,9,0),"")</f>
        <v/>
      </c>
      <c r="E465" s="11" t="str">
        <f t="shared" si="7"/>
        <v/>
      </c>
      <c r="F465" s="12" t="str">
        <f>IF(COUNTIF(Дела!$A:$A,ROW()-1)&gt;0,VLOOKUP(ROW()-1,Дела!$A:$M,13,0),"")</f>
        <v/>
      </c>
      <c r="G465" s="13" t="str">
        <f>IF(COUNTIF(Дела!$A:$A,ROW()-1)&gt;0,VLOOKUP(ROW()-1,Дела!$A:$N,14,0),"")</f>
        <v/>
      </c>
      <c r="H465" s="11" t="str">
        <f>IF(COUNTIF(Дела!$A:$A,ROW()-1)&gt;0,VLOOKUP(ROW()-1,Дела!$A:$K,11,0),"")</f>
        <v/>
      </c>
    </row>
    <row r="466" spans="1:8" x14ac:dyDescent="0.25">
      <c r="A466" s="11" t="str">
        <f>IF(COUNTIF(Дела!$A:$A,ROW()-1)&gt;0,VLOOKUP(ROW()-1,Дела!$A:$C,3,0),"")</f>
        <v/>
      </c>
      <c r="B466" s="11" t="str">
        <f>IF(COUNTIF(Дела!$A:$A,ROW()-1)&gt;0,VLOOKUP(ROW()-1,Дела!$A:$F,6,0),"")</f>
        <v/>
      </c>
      <c r="C466" s="11" t="str">
        <f>IF(COUNTIF(Дела!$A:$A,ROW()-1)&gt;0,VLOOKUP(ROW()-1,Дела!$A:$G,7,0),"")</f>
        <v/>
      </c>
      <c r="D466" s="11" t="str">
        <f>IF(COUNTIF(Дела!$A:$A,ROW()-1)&gt;0,VLOOKUP(ROW()-1,Дела!$A:$I,9,0),"")</f>
        <v/>
      </c>
      <c r="E466" s="11" t="str">
        <f t="shared" si="7"/>
        <v/>
      </c>
      <c r="F466" s="12" t="str">
        <f>IF(COUNTIF(Дела!$A:$A,ROW()-1)&gt;0,VLOOKUP(ROW()-1,Дела!$A:$M,13,0),"")</f>
        <v/>
      </c>
      <c r="G466" s="13" t="str">
        <f>IF(COUNTIF(Дела!$A:$A,ROW()-1)&gt;0,VLOOKUP(ROW()-1,Дела!$A:$N,14,0),"")</f>
        <v/>
      </c>
      <c r="H466" s="11" t="str">
        <f>IF(COUNTIF(Дела!$A:$A,ROW()-1)&gt;0,VLOOKUP(ROW()-1,Дела!$A:$K,11,0),"")</f>
        <v/>
      </c>
    </row>
    <row r="467" spans="1:8" x14ac:dyDescent="0.25">
      <c r="A467" s="11" t="str">
        <f>IF(COUNTIF(Дела!$A:$A,ROW()-1)&gt;0,VLOOKUP(ROW()-1,Дела!$A:$C,3,0),"")</f>
        <v/>
      </c>
      <c r="B467" s="11" t="str">
        <f>IF(COUNTIF(Дела!$A:$A,ROW()-1)&gt;0,VLOOKUP(ROW()-1,Дела!$A:$F,6,0),"")</f>
        <v/>
      </c>
      <c r="C467" s="11" t="str">
        <f>IF(COUNTIF(Дела!$A:$A,ROW()-1)&gt;0,VLOOKUP(ROW()-1,Дела!$A:$G,7,0),"")</f>
        <v/>
      </c>
      <c r="D467" s="11" t="str">
        <f>IF(COUNTIF(Дела!$A:$A,ROW()-1)&gt;0,VLOOKUP(ROW()-1,Дела!$A:$I,9,0),"")</f>
        <v/>
      </c>
      <c r="E467" s="11" t="str">
        <f t="shared" si="7"/>
        <v/>
      </c>
      <c r="F467" s="12" t="str">
        <f>IF(COUNTIF(Дела!$A:$A,ROW()-1)&gt;0,VLOOKUP(ROW()-1,Дела!$A:$M,13,0),"")</f>
        <v/>
      </c>
      <c r="G467" s="13" t="str">
        <f>IF(COUNTIF(Дела!$A:$A,ROW()-1)&gt;0,VLOOKUP(ROW()-1,Дела!$A:$N,14,0),"")</f>
        <v/>
      </c>
      <c r="H467" s="11" t="str">
        <f>IF(COUNTIF(Дела!$A:$A,ROW()-1)&gt;0,VLOOKUP(ROW()-1,Дела!$A:$K,11,0),"")</f>
        <v/>
      </c>
    </row>
    <row r="468" spans="1:8" x14ac:dyDescent="0.25">
      <c r="A468" s="11" t="str">
        <f>IF(COUNTIF(Дела!$A:$A,ROW()-1)&gt;0,VLOOKUP(ROW()-1,Дела!$A:$C,3,0),"")</f>
        <v/>
      </c>
      <c r="B468" s="11" t="str">
        <f>IF(COUNTIF(Дела!$A:$A,ROW()-1)&gt;0,VLOOKUP(ROW()-1,Дела!$A:$F,6,0),"")</f>
        <v/>
      </c>
      <c r="C468" s="11" t="str">
        <f>IF(COUNTIF(Дела!$A:$A,ROW()-1)&gt;0,VLOOKUP(ROW()-1,Дела!$A:$G,7,0),"")</f>
        <v/>
      </c>
      <c r="D468" s="11" t="str">
        <f>IF(COUNTIF(Дела!$A:$A,ROW()-1)&gt;0,VLOOKUP(ROW()-1,Дела!$A:$I,9,0),"")</f>
        <v/>
      </c>
      <c r="E468" s="11" t="str">
        <f t="shared" si="7"/>
        <v/>
      </c>
      <c r="F468" s="12" t="str">
        <f>IF(COUNTIF(Дела!$A:$A,ROW()-1)&gt;0,VLOOKUP(ROW()-1,Дела!$A:$M,13,0),"")</f>
        <v/>
      </c>
      <c r="G468" s="13" t="str">
        <f>IF(COUNTIF(Дела!$A:$A,ROW()-1)&gt;0,VLOOKUP(ROW()-1,Дела!$A:$N,14,0),"")</f>
        <v/>
      </c>
      <c r="H468" s="11" t="str">
        <f>IF(COUNTIF(Дела!$A:$A,ROW()-1)&gt;0,VLOOKUP(ROW()-1,Дела!$A:$K,11,0),"")</f>
        <v/>
      </c>
    </row>
    <row r="469" spans="1:8" x14ac:dyDescent="0.25">
      <c r="A469" s="11" t="str">
        <f>IF(COUNTIF(Дела!$A:$A,ROW()-1)&gt;0,VLOOKUP(ROW()-1,Дела!$A:$C,3,0),"")</f>
        <v/>
      </c>
      <c r="B469" s="11" t="str">
        <f>IF(COUNTIF(Дела!$A:$A,ROW()-1)&gt;0,VLOOKUP(ROW()-1,Дела!$A:$F,6,0),"")</f>
        <v/>
      </c>
      <c r="C469" s="11" t="str">
        <f>IF(COUNTIF(Дела!$A:$A,ROW()-1)&gt;0,VLOOKUP(ROW()-1,Дела!$A:$G,7,0),"")</f>
        <v/>
      </c>
      <c r="D469" s="11" t="str">
        <f>IF(COUNTIF(Дела!$A:$A,ROW()-1)&gt;0,VLOOKUP(ROW()-1,Дела!$A:$I,9,0),"")</f>
        <v/>
      </c>
      <c r="E469" s="11" t="str">
        <f t="shared" si="7"/>
        <v/>
      </c>
      <c r="F469" s="12" t="str">
        <f>IF(COUNTIF(Дела!$A:$A,ROW()-1)&gt;0,VLOOKUP(ROW()-1,Дела!$A:$M,13,0),"")</f>
        <v/>
      </c>
      <c r="G469" s="13" t="str">
        <f>IF(COUNTIF(Дела!$A:$A,ROW()-1)&gt;0,VLOOKUP(ROW()-1,Дела!$A:$N,14,0),"")</f>
        <v/>
      </c>
      <c r="H469" s="11" t="str">
        <f>IF(COUNTIF(Дела!$A:$A,ROW()-1)&gt;0,VLOOKUP(ROW()-1,Дела!$A:$K,11,0),"")</f>
        <v/>
      </c>
    </row>
    <row r="470" spans="1:8" x14ac:dyDescent="0.25">
      <c r="A470" s="11" t="str">
        <f>IF(COUNTIF(Дела!$A:$A,ROW()-1)&gt;0,VLOOKUP(ROW()-1,Дела!$A:$C,3,0),"")</f>
        <v/>
      </c>
      <c r="B470" s="11" t="str">
        <f>IF(COUNTIF(Дела!$A:$A,ROW()-1)&gt;0,VLOOKUP(ROW()-1,Дела!$A:$F,6,0),"")</f>
        <v/>
      </c>
      <c r="C470" s="11" t="str">
        <f>IF(COUNTIF(Дела!$A:$A,ROW()-1)&gt;0,VLOOKUP(ROW()-1,Дела!$A:$G,7,0),"")</f>
        <v/>
      </c>
      <c r="D470" s="11" t="str">
        <f>IF(COUNTIF(Дела!$A:$A,ROW()-1)&gt;0,VLOOKUP(ROW()-1,Дела!$A:$I,9,0),"")</f>
        <v/>
      </c>
      <c r="E470" s="11" t="str">
        <f t="shared" si="7"/>
        <v/>
      </c>
      <c r="F470" s="12" t="str">
        <f>IF(COUNTIF(Дела!$A:$A,ROW()-1)&gt;0,VLOOKUP(ROW()-1,Дела!$A:$M,13,0),"")</f>
        <v/>
      </c>
      <c r="G470" s="13" t="str">
        <f>IF(COUNTIF(Дела!$A:$A,ROW()-1)&gt;0,VLOOKUP(ROW()-1,Дела!$A:$N,14,0),"")</f>
        <v/>
      </c>
      <c r="H470" s="11" t="str">
        <f>IF(COUNTIF(Дела!$A:$A,ROW()-1)&gt;0,VLOOKUP(ROW()-1,Дела!$A:$K,11,0),"")</f>
        <v/>
      </c>
    </row>
    <row r="471" spans="1:8" x14ac:dyDescent="0.25">
      <c r="A471" s="11" t="str">
        <f>IF(COUNTIF(Дела!$A:$A,ROW()-1)&gt;0,VLOOKUP(ROW()-1,Дела!$A:$C,3,0),"")</f>
        <v/>
      </c>
      <c r="B471" s="11" t="str">
        <f>IF(COUNTIF(Дела!$A:$A,ROW()-1)&gt;0,VLOOKUP(ROW()-1,Дела!$A:$F,6,0),"")</f>
        <v/>
      </c>
      <c r="C471" s="11" t="str">
        <f>IF(COUNTIF(Дела!$A:$A,ROW()-1)&gt;0,VLOOKUP(ROW()-1,Дела!$A:$G,7,0),"")</f>
        <v/>
      </c>
      <c r="D471" s="11" t="str">
        <f>IF(COUNTIF(Дела!$A:$A,ROW()-1)&gt;0,VLOOKUP(ROW()-1,Дела!$A:$I,9,0),"")</f>
        <v/>
      </c>
      <c r="E471" s="11" t="str">
        <f t="shared" si="7"/>
        <v/>
      </c>
      <c r="F471" s="12" t="str">
        <f>IF(COUNTIF(Дела!$A:$A,ROW()-1)&gt;0,VLOOKUP(ROW()-1,Дела!$A:$M,13,0),"")</f>
        <v/>
      </c>
      <c r="G471" s="13" t="str">
        <f>IF(COUNTIF(Дела!$A:$A,ROW()-1)&gt;0,VLOOKUP(ROW()-1,Дела!$A:$N,14,0),"")</f>
        <v/>
      </c>
      <c r="H471" s="11" t="str">
        <f>IF(COUNTIF(Дела!$A:$A,ROW()-1)&gt;0,VLOOKUP(ROW()-1,Дела!$A:$K,11,0),"")</f>
        <v/>
      </c>
    </row>
    <row r="472" spans="1:8" x14ac:dyDescent="0.25">
      <c r="A472" s="11" t="str">
        <f>IF(COUNTIF(Дела!$A:$A,ROW()-1)&gt;0,VLOOKUP(ROW()-1,Дела!$A:$C,3,0),"")</f>
        <v/>
      </c>
      <c r="B472" s="11" t="str">
        <f>IF(COUNTIF(Дела!$A:$A,ROW()-1)&gt;0,VLOOKUP(ROW()-1,Дела!$A:$F,6,0),"")</f>
        <v/>
      </c>
      <c r="C472" s="11" t="str">
        <f>IF(COUNTIF(Дела!$A:$A,ROW()-1)&gt;0,VLOOKUP(ROW()-1,Дела!$A:$G,7,0),"")</f>
        <v/>
      </c>
      <c r="D472" s="11" t="str">
        <f>IF(COUNTIF(Дела!$A:$A,ROW()-1)&gt;0,VLOOKUP(ROW()-1,Дела!$A:$I,9,0),"")</f>
        <v/>
      </c>
      <c r="E472" s="11" t="str">
        <f t="shared" si="7"/>
        <v/>
      </c>
      <c r="F472" s="12" t="str">
        <f>IF(COUNTIF(Дела!$A:$A,ROW()-1)&gt;0,VLOOKUP(ROW()-1,Дела!$A:$M,13,0),"")</f>
        <v/>
      </c>
      <c r="G472" s="13" t="str">
        <f>IF(COUNTIF(Дела!$A:$A,ROW()-1)&gt;0,VLOOKUP(ROW()-1,Дела!$A:$N,14,0),"")</f>
        <v/>
      </c>
      <c r="H472" s="11" t="str">
        <f>IF(COUNTIF(Дела!$A:$A,ROW()-1)&gt;0,VLOOKUP(ROW()-1,Дела!$A:$K,11,0),"")</f>
        <v/>
      </c>
    </row>
    <row r="473" spans="1:8" x14ac:dyDescent="0.25">
      <c r="A473" s="11" t="str">
        <f>IF(COUNTIF(Дела!$A:$A,ROW()-1)&gt;0,VLOOKUP(ROW()-1,Дела!$A:$C,3,0),"")</f>
        <v/>
      </c>
      <c r="B473" s="11" t="str">
        <f>IF(COUNTIF(Дела!$A:$A,ROW()-1)&gt;0,VLOOKUP(ROW()-1,Дела!$A:$F,6,0),"")</f>
        <v/>
      </c>
      <c r="C473" s="11" t="str">
        <f>IF(COUNTIF(Дела!$A:$A,ROW()-1)&gt;0,VLOOKUP(ROW()-1,Дела!$A:$G,7,0),"")</f>
        <v/>
      </c>
      <c r="D473" s="11" t="str">
        <f>IF(COUNTIF(Дела!$A:$A,ROW()-1)&gt;0,VLOOKUP(ROW()-1,Дела!$A:$I,9,0),"")</f>
        <v/>
      </c>
      <c r="E473" s="11" t="str">
        <f t="shared" si="7"/>
        <v/>
      </c>
      <c r="F473" s="12" t="str">
        <f>IF(COUNTIF(Дела!$A:$A,ROW()-1)&gt;0,VLOOKUP(ROW()-1,Дела!$A:$M,13,0),"")</f>
        <v/>
      </c>
      <c r="G473" s="13" t="str">
        <f>IF(COUNTIF(Дела!$A:$A,ROW()-1)&gt;0,VLOOKUP(ROW()-1,Дела!$A:$N,14,0),"")</f>
        <v/>
      </c>
      <c r="H473" s="11" t="str">
        <f>IF(COUNTIF(Дела!$A:$A,ROW()-1)&gt;0,VLOOKUP(ROW()-1,Дела!$A:$K,11,0),"")</f>
        <v/>
      </c>
    </row>
    <row r="474" spans="1:8" x14ac:dyDescent="0.25">
      <c r="A474" s="11" t="str">
        <f>IF(COUNTIF(Дела!$A:$A,ROW()-1)&gt;0,VLOOKUP(ROW()-1,Дела!$A:$C,3,0),"")</f>
        <v/>
      </c>
      <c r="B474" s="11" t="str">
        <f>IF(COUNTIF(Дела!$A:$A,ROW()-1)&gt;0,VLOOKUP(ROW()-1,Дела!$A:$F,6,0),"")</f>
        <v/>
      </c>
      <c r="C474" s="11" t="str">
        <f>IF(COUNTIF(Дела!$A:$A,ROW()-1)&gt;0,VLOOKUP(ROW()-1,Дела!$A:$G,7,0),"")</f>
        <v/>
      </c>
      <c r="D474" s="11" t="str">
        <f>IF(COUNTIF(Дела!$A:$A,ROW()-1)&gt;0,VLOOKUP(ROW()-1,Дела!$A:$I,9,0),"")</f>
        <v/>
      </c>
      <c r="E474" s="11" t="str">
        <f t="shared" si="7"/>
        <v/>
      </c>
      <c r="F474" s="12" t="str">
        <f>IF(COUNTIF(Дела!$A:$A,ROW()-1)&gt;0,VLOOKUP(ROW()-1,Дела!$A:$M,13,0),"")</f>
        <v/>
      </c>
      <c r="G474" s="13" t="str">
        <f>IF(COUNTIF(Дела!$A:$A,ROW()-1)&gt;0,VLOOKUP(ROW()-1,Дела!$A:$N,14,0),"")</f>
        <v/>
      </c>
      <c r="H474" s="11" t="str">
        <f>IF(COUNTIF(Дела!$A:$A,ROW()-1)&gt;0,VLOOKUP(ROW()-1,Дела!$A:$K,11,0),"")</f>
        <v/>
      </c>
    </row>
    <row r="475" spans="1:8" x14ac:dyDescent="0.25">
      <c r="A475" s="11" t="str">
        <f>IF(COUNTIF(Дела!$A:$A,ROW()-1)&gt;0,VLOOKUP(ROW()-1,Дела!$A:$C,3,0),"")</f>
        <v/>
      </c>
      <c r="B475" s="11" t="str">
        <f>IF(COUNTIF(Дела!$A:$A,ROW()-1)&gt;0,VLOOKUP(ROW()-1,Дела!$A:$F,6,0),"")</f>
        <v/>
      </c>
      <c r="C475" s="11" t="str">
        <f>IF(COUNTIF(Дела!$A:$A,ROW()-1)&gt;0,VLOOKUP(ROW()-1,Дела!$A:$G,7,0),"")</f>
        <v/>
      </c>
      <c r="D475" s="11" t="str">
        <f>IF(COUNTIF(Дела!$A:$A,ROW()-1)&gt;0,VLOOKUP(ROW()-1,Дела!$A:$I,9,0),"")</f>
        <v/>
      </c>
      <c r="E475" s="11" t="str">
        <f t="shared" si="7"/>
        <v/>
      </c>
      <c r="F475" s="12" t="str">
        <f>IF(COUNTIF(Дела!$A:$A,ROW()-1)&gt;0,VLOOKUP(ROW()-1,Дела!$A:$M,13,0),"")</f>
        <v/>
      </c>
      <c r="G475" s="13" t="str">
        <f>IF(COUNTIF(Дела!$A:$A,ROW()-1)&gt;0,VLOOKUP(ROW()-1,Дела!$A:$N,14,0),"")</f>
        <v/>
      </c>
      <c r="H475" s="11" t="str">
        <f>IF(COUNTIF(Дела!$A:$A,ROW()-1)&gt;0,VLOOKUP(ROW()-1,Дела!$A:$K,11,0),"")</f>
        <v/>
      </c>
    </row>
    <row r="476" spans="1:8" x14ac:dyDescent="0.25">
      <c r="A476" s="11" t="str">
        <f>IF(COUNTIF(Дела!$A:$A,ROW()-1)&gt;0,VLOOKUP(ROW()-1,Дела!$A:$C,3,0),"")</f>
        <v/>
      </c>
      <c r="B476" s="11" t="str">
        <f>IF(COUNTIF(Дела!$A:$A,ROW()-1)&gt;0,VLOOKUP(ROW()-1,Дела!$A:$F,6,0),"")</f>
        <v/>
      </c>
      <c r="C476" s="11" t="str">
        <f>IF(COUNTIF(Дела!$A:$A,ROW()-1)&gt;0,VLOOKUP(ROW()-1,Дела!$A:$G,7,0),"")</f>
        <v/>
      </c>
      <c r="D476" s="11" t="str">
        <f>IF(COUNTIF(Дела!$A:$A,ROW()-1)&gt;0,VLOOKUP(ROW()-1,Дела!$A:$I,9,0),"")</f>
        <v/>
      </c>
      <c r="E476" s="11" t="str">
        <f t="shared" si="7"/>
        <v/>
      </c>
      <c r="F476" s="12" t="str">
        <f>IF(COUNTIF(Дела!$A:$A,ROW()-1)&gt;0,VLOOKUP(ROW()-1,Дела!$A:$M,13,0),"")</f>
        <v/>
      </c>
      <c r="G476" s="13" t="str">
        <f>IF(COUNTIF(Дела!$A:$A,ROW()-1)&gt;0,VLOOKUP(ROW()-1,Дела!$A:$N,14,0),"")</f>
        <v/>
      </c>
      <c r="H476" s="11" t="str">
        <f>IF(COUNTIF(Дела!$A:$A,ROW()-1)&gt;0,VLOOKUP(ROW()-1,Дела!$A:$K,11,0),"")</f>
        <v/>
      </c>
    </row>
    <row r="477" spans="1:8" x14ac:dyDescent="0.25">
      <c r="A477" s="11" t="str">
        <f>IF(COUNTIF(Дела!$A:$A,ROW()-1)&gt;0,VLOOKUP(ROW()-1,Дела!$A:$C,3,0),"")</f>
        <v/>
      </c>
      <c r="B477" s="11" t="str">
        <f>IF(COUNTIF(Дела!$A:$A,ROW()-1)&gt;0,VLOOKUP(ROW()-1,Дела!$A:$F,6,0),"")</f>
        <v/>
      </c>
      <c r="C477" s="11" t="str">
        <f>IF(COUNTIF(Дела!$A:$A,ROW()-1)&gt;0,VLOOKUP(ROW()-1,Дела!$A:$G,7,0),"")</f>
        <v/>
      </c>
      <c r="D477" s="11" t="str">
        <f>IF(COUNTIF(Дела!$A:$A,ROW()-1)&gt;0,VLOOKUP(ROW()-1,Дела!$A:$I,9,0),"")</f>
        <v/>
      </c>
      <c r="E477" s="11" t="str">
        <f t="shared" si="7"/>
        <v/>
      </c>
      <c r="F477" s="12" t="str">
        <f>IF(COUNTIF(Дела!$A:$A,ROW()-1)&gt;0,VLOOKUP(ROW()-1,Дела!$A:$M,13,0),"")</f>
        <v/>
      </c>
      <c r="G477" s="13" t="str">
        <f>IF(COUNTIF(Дела!$A:$A,ROW()-1)&gt;0,VLOOKUP(ROW()-1,Дела!$A:$N,14,0),"")</f>
        <v/>
      </c>
      <c r="H477" s="11" t="str">
        <f>IF(COUNTIF(Дела!$A:$A,ROW()-1)&gt;0,VLOOKUP(ROW()-1,Дела!$A:$K,11,0),"")</f>
        <v/>
      </c>
    </row>
    <row r="478" spans="1:8" x14ac:dyDescent="0.25">
      <c r="A478" s="11" t="str">
        <f>IF(COUNTIF(Дела!$A:$A,ROW()-1)&gt;0,VLOOKUP(ROW()-1,Дела!$A:$C,3,0),"")</f>
        <v/>
      </c>
      <c r="B478" s="11" t="str">
        <f>IF(COUNTIF(Дела!$A:$A,ROW()-1)&gt;0,VLOOKUP(ROW()-1,Дела!$A:$F,6,0),"")</f>
        <v/>
      </c>
      <c r="C478" s="11" t="str">
        <f>IF(COUNTIF(Дела!$A:$A,ROW()-1)&gt;0,VLOOKUP(ROW()-1,Дела!$A:$G,7,0),"")</f>
        <v/>
      </c>
      <c r="D478" s="11" t="str">
        <f>IF(COUNTIF(Дела!$A:$A,ROW()-1)&gt;0,VLOOKUP(ROW()-1,Дела!$A:$I,9,0),"")</f>
        <v/>
      </c>
      <c r="E478" s="11" t="str">
        <f t="shared" si="7"/>
        <v/>
      </c>
      <c r="F478" s="12" t="str">
        <f>IF(COUNTIF(Дела!$A:$A,ROW()-1)&gt;0,VLOOKUP(ROW()-1,Дела!$A:$M,13,0),"")</f>
        <v/>
      </c>
      <c r="G478" s="13" t="str">
        <f>IF(COUNTIF(Дела!$A:$A,ROW()-1)&gt;0,VLOOKUP(ROW()-1,Дела!$A:$N,14,0),"")</f>
        <v/>
      </c>
      <c r="H478" s="11" t="str">
        <f>IF(COUNTIF(Дела!$A:$A,ROW()-1)&gt;0,VLOOKUP(ROW()-1,Дела!$A:$K,11,0),"")</f>
        <v/>
      </c>
    </row>
    <row r="479" spans="1:8" x14ac:dyDescent="0.25">
      <c r="A479" s="11" t="str">
        <f>IF(COUNTIF(Дела!$A:$A,ROW()-1)&gt;0,VLOOKUP(ROW()-1,Дела!$A:$C,3,0),"")</f>
        <v/>
      </c>
      <c r="B479" s="11" t="str">
        <f>IF(COUNTIF(Дела!$A:$A,ROW()-1)&gt;0,VLOOKUP(ROW()-1,Дела!$A:$F,6,0),"")</f>
        <v/>
      </c>
      <c r="C479" s="11" t="str">
        <f>IF(COUNTIF(Дела!$A:$A,ROW()-1)&gt;0,VLOOKUP(ROW()-1,Дела!$A:$G,7,0),"")</f>
        <v/>
      </c>
      <c r="D479" s="11" t="str">
        <f>IF(COUNTIF(Дела!$A:$A,ROW()-1)&gt;0,VLOOKUP(ROW()-1,Дела!$A:$I,9,0),"")</f>
        <v/>
      </c>
      <c r="E479" s="11" t="str">
        <f t="shared" si="7"/>
        <v/>
      </c>
      <c r="F479" s="12" t="str">
        <f>IF(COUNTIF(Дела!$A:$A,ROW()-1)&gt;0,VLOOKUP(ROW()-1,Дела!$A:$M,13,0),"")</f>
        <v/>
      </c>
      <c r="G479" s="13" t="str">
        <f>IF(COUNTIF(Дела!$A:$A,ROW()-1)&gt;0,VLOOKUP(ROW()-1,Дела!$A:$N,14,0),"")</f>
        <v/>
      </c>
      <c r="H479" s="11" t="str">
        <f>IF(COUNTIF(Дела!$A:$A,ROW()-1)&gt;0,VLOOKUP(ROW()-1,Дела!$A:$K,11,0),"")</f>
        <v/>
      </c>
    </row>
    <row r="480" spans="1:8" x14ac:dyDescent="0.25">
      <c r="A480" s="11" t="str">
        <f>IF(COUNTIF(Дела!$A:$A,ROW()-1)&gt;0,VLOOKUP(ROW()-1,Дела!$A:$C,3,0),"")</f>
        <v/>
      </c>
      <c r="B480" s="11" t="str">
        <f>IF(COUNTIF(Дела!$A:$A,ROW()-1)&gt;0,VLOOKUP(ROW()-1,Дела!$A:$F,6,0),"")</f>
        <v/>
      </c>
      <c r="C480" s="11" t="str">
        <f>IF(COUNTIF(Дела!$A:$A,ROW()-1)&gt;0,VLOOKUP(ROW()-1,Дела!$A:$G,7,0),"")</f>
        <v/>
      </c>
      <c r="D480" s="11" t="str">
        <f>IF(COUNTIF(Дела!$A:$A,ROW()-1)&gt;0,VLOOKUP(ROW()-1,Дела!$A:$I,9,0),"")</f>
        <v/>
      </c>
      <c r="E480" s="11" t="str">
        <f t="shared" si="7"/>
        <v/>
      </c>
      <c r="F480" s="12" t="str">
        <f>IF(COUNTIF(Дела!$A:$A,ROW()-1)&gt;0,VLOOKUP(ROW()-1,Дела!$A:$M,13,0),"")</f>
        <v/>
      </c>
      <c r="G480" s="13" t="str">
        <f>IF(COUNTIF(Дела!$A:$A,ROW()-1)&gt;0,VLOOKUP(ROW()-1,Дела!$A:$N,14,0),"")</f>
        <v/>
      </c>
      <c r="H480" s="11" t="str">
        <f>IF(COUNTIF(Дела!$A:$A,ROW()-1)&gt;0,VLOOKUP(ROW()-1,Дела!$A:$K,11,0),"")</f>
        <v/>
      </c>
    </row>
    <row r="481" spans="1:8" x14ac:dyDescent="0.25">
      <c r="A481" s="11" t="str">
        <f>IF(COUNTIF(Дела!$A:$A,ROW()-1)&gt;0,VLOOKUP(ROW()-1,Дела!$A:$C,3,0),"")</f>
        <v/>
      </c>
      <c r="B481" s="11" t="str">
        <f>IF(COUNTIF(Дела!$A:$A,ROW()-1)&gt;0,VLOOKUP(ROW()-1,Дела!$A:$F,6,0),"")</f>
        <v/>
      </c>
      <c r="C481" s="11" t="str">
        <f>IF(COUNTIF(Дела!$A:$A,ROW()-1)&gt;0,VLOOKUP(ROW()-1,Дела!$A:$G,7,0),"")</f>
        <v/>
      </c>
      <c r="D481" s="11" t="str">
        <f>IF(COUNTIF(Дела!$A:$A,ROW()-1)&gt;0,VLOOKUP(ROW()-1,Дела!$A:$I,9,0),"")</f>
        <v/>
      </c>
      <c r="E481" s="11" t="str">
        <f t="shared" si="7"/>
        <v/>
      </c>
      <c r="F481" s="12" t="str">
        <f>IF(COUNTIF(Дела!$A:$A,ROW()-1)&gt;0,VLOOKUP(ROW()-1,Дела!$A:$M,13,0),"")</f>
        <v/>
      </c>
      <c r="G481" s="13" t="str">
        <f>IF(COUNTIF(Дела!$A:$A,ROW()-1)&gt;0,VLOOKUP(ROW()-1,Дела!$A:$N,14,0),"")</f>
        <v/>
      </c>
      <c r="H481" s="11" t="str">
        <f>IF(COUNTIF(Дела!$A:$A,ROW()-1)&gt;0,VLOOKUP(ROW()-1,Дела!$A:$K,11,0),"")</f>
        <v/>
      </c>
    </row>
    <row r="482" spans="1:8" x14ac:dyDescent="0.25">
      <c r="A482" s="11" t="str">
        <f>IF(COUNTIF(Дела!$A:$A,ROW()-1)&gt;0,VLOOKUP(ROW()-1,Дела!$A:$C,3,0),"")</f>
        <v/>
      </c>
      <c r="B482" s="11" t="str">
        <f>IF(COUNTIF(Дела!$A:$A,ROW()-1)&gt;0,VLOOKUP(ROW()-1,Дела!$A:$F,6,0),"")</f>
        <v/>
      </c>
      <c r="C482" s="11" t="str">
        <f>IF(COUNTIF(Дела!$A:$A,ROW()-1)&gt;0,VLOOKUP(ROW()-1,Дела!$A:$G,7,0),"")</f>
        <v/>
      </c>
      <c r="D482" s="11" t="str">
        <f>IF(COUNTIF(Дела!$A:$A,ROW()-1)&gt;0,VLOOKUP(ROW()-1,Дела!$A:$I,9,0),"")</f>
        <v/>
      </c>
      <c r="E482" s="11" t="str">
        <f t="shared" si="7"/>
        <v/>
      </c>
      <c r="F482" s="12" t="str">
        <f>IF(COUNTIF(Дела!$A:$A,ROW()-1)&gt;0,VLOOKUP(ROW()-1,Дела!$A:$M,13,0),"")</f>
        <v/>
      </c>
      <c r="G482" s="13" t="str">
        <f>IF(COUNTIF(Дела!$A:$A,ROW()-1)&gt;0,VLOOKUP(ROW()-1,Дела!$A:$N,14,0),"")</f>
        <v/>
      </c>
      <c r="H482" s="11" t="str">
        <f>IF(COUNTIF(Дела!$A:$A,ROW()-1)&gt;0,VLOOKUP(ROW()-1,Дела!$A:$K,11,0),"")</f>
        <v/>
      </c>
    </row>
    <row r="483" spans="1:8" x14ac:dyDescent="0.25">
      <c r="A483" s="11" t="str">
        <f>IF(COUNTIF(Дела!$A:$A,ROW()-1)&gt;0,VLOOKUP(ROW()-1,Дела!$A:$C,3,0),"")</f>
        <v/>
      </c>
      <c r="B483" s="11" t="str">
        <f>IF(COUNTIF(Дела!$A:$A,ROW()-1)&gt;0,VLOOKUP(ROW()-1,Дела!$A:$F,6,0),"")</f>
        <v/>
      </c>
      <c r="C483" s="11" t="str">
        <f>IF(COUNTIF(Дела!$A:$A,ROW()-1)&gt;0,VLOOKUP(ROW()-1,Дела!$A:$G,7,0),"")</f>
        <v/>
      </c>
      <c r="D483" s="11" t="str">
        <f>IF(COUNTIF(Дела!$A:$A,ROW()-1)&gt;0,VLOOKUP(ROW()-1,Дела!$A:$I,9,0),"")</f>
        <v/>
      </c>
      <c r="E483" s="11" t="str">
        <f t="shared" si="7"/>
        <v/>
      </c>
      <c r="F483" s="12" t="str">
        <f>IF(COUNTIF(Дела!$A:$A,ROW()-1)&gt;0,VLOOKUP(ROW()-1,Дела!$A:$M,13,0),"")</f>
        <v/>
      </c>
      <c r="G483" s="13" t="str">
        <f>IF(COUNTIF(Дела!$A:$A,ROW()-1)&gt;0,VLOOKUP(ROW()-1,Дела!$A:$N,14,0),"")</f>
        <v/>
      </c>
      <c r="H483" s="11" t="str">
        <f>IF(COUNTIF(Дела!$A:$A,ROW()-1)&gt;0,VLOOKUP(ROW()-1,Дела!$A:$K,11,0),"")</f>
        <v/>
      </c>
    </row>
    <row r="484" spans="1:8" x14ac:dyDescent="0.25">
      <c r="A484" s="11" t="str">
        <f>IF(COUNTIF(Дела!$A:$A,ROW()-1)&gt;0,VLOOKUP(ROW()-1,Дела!$A:$C,3,0),"")</f>
        <v/>
      </c>
      <c r="B484" s="11" t="str">
        <f>IF(COUNTIF(Дела!$A:$A,ROW()-1)&gt;0,VLOOKUP(ROW()-1,Дела!$A:$F,6,0),"")</f>
        <v/>
      </c>
      <c r="C484" s="11" t="str">
        <f>IF(COUNTIF(Дела!$A:$A,ROW()-1)&gt;0,VLOOKUP(ROW()-1,Дела!$A:$G,7,0),"")</f>
        <v/>
      </c>
      <c r="D484" s="11" t="str">
        <f>IF(COUNTIF(Дела!$A:$A,ROW()-1)&gt;0,VLOOKUP(ROW()-1,Дела!$A:$I,9,0),"")</f>
        <v/>
      </c>
      <c r="E484" s="11" t="str">
        <f t="shared" si="7"/>
        <v/>
      </c>
      <c r="F484" s="12" t="str">
        <f>IF(COUNTIF(Дела!$A:$A,ROW()-1)&gt;0,VLOOKUP(ROW()-1,Дела!$A:$M,13,0),"")</f>
        <v/>
      </c>
      <c r="G484" s="13" t="str">
        <f>IF(COUNTIF(Дела!$A:$A,ROW()-1)&gt;0,VLOOKUP(ROW()-1,Дела!$A:$N,14,0),"")</f>
        <v/>
      </c>
      <c r="H484" s="11" t="str">
        <f>IF(COUNTIF(Дела!$A:$A,ROW()-1)&gt;0,VLOOKUP(ROW()-1,Дела!$A:$K,11,0),"")</f>
        <v/>
      </c>
    </row>
    <row r="485" spans="1:8" x14ac:dyDescent="0.25">
      <c r="A485" s="11" t="str">
        <f>IF(COUNTIF(Дела!$A:$A,ROW()-1)&gt;0,VLOOKUP(ROW()-1,Дела!$A:$C,3,0),"")</f>
        <v/>
      </c>
      <c r="B485" s="11" t="str">
        <f>IF(COUNTIF(Дела!$A:$A,ROW()-1)&gt;0,VLOOKUP(ROW()-1,Дела!$A:$F,6,0),"")</f>
        <v/>
      </c>
      <c r="C485" s="11" t="str">
        <f>IF(COUNTIF(Дела!$A:$A,ROW()-1)&gt;0,VLOOKUP(ROW()-1,Дела!$A:$G,7,0),"")</f>
        <v/>
      </c>
      <c r="D485" s="11" t="str">
        <f>IF(COUNTIF(Дела!$A:$A,ROW()-1)&gt;0,VLOOKUP(ROW()-1,Дела!$A:$I,9,0),"")</f>
        <v/>
      </c>
      <c r="E485" s="11" t="str">
        <f t="shared" si="7"/>
        <v/>
      </c>
      <c r="F485" s="12" t="str">
        <f>IF(COUNTIF(Дела!$A:$A,ROW()-1)&gt;0,VLOOKUP(ROW()-1,Дела!$A:$M,13,0),"")</f>
        <v/>
      </c>
      <c r="G485" s="13" t="str">
        <f>IF(COUNTIF(Дела!$A:$A,ROW()-1)&gt;0,VLOOKUP(ROW()-1,Дела!$A:$N,14,0),"")</f>
        <v/>
      </c>
      <c r="H485" s="11" t="str">
        <f>IF(COUNTIF(Дела!$A:$A,ROW()-1)&gt;0,VLOOKUP(ROW()-1,Дела!$A:$K,11,0),"")</f>
        <v/>
      </c>
    </row>
    <row r="486" spans="1:8" x14ac:dyDescent="0.25">
      <c r="A486" s="11" t="str">
        <f>IF(COUNTIF(Дела!$A:$A,ROW()-1)&gt;0,VLOOKUP(ROW()-1,Дела!$A:$C,3,0),"")</f>
        <v/>
      </c>
      <c r="B486" s="11" t="str">
        <f>IF(COUNTIF(Дела!$A:$A,ROW()-1)&gt;0,VLOOKUP(ROW()-1,Дела!$A:$F,6,0),"")</f>
        <v/>
      </c>
      <c r="C486" s="11" t="str">
        <f>IF(COUNTIF(Дела!$A:$A,ROW()-1)&gt;0,VLOOKUP(ROW()-1,Дела!$A:$G,7,0),"")</f>
        <v/>
      </c>
      <c r="D486" s="11" t="str">
        <f>IF(COUNTIF(Дела!$A:$A,ROW()-1)&gt;0,VLOOKUP(ROW()-1,Дела!$A:$I,9,0),"")</f>
        <v/>
      </c>
      <c r="E486" s="11" t="str">
        <f t="shared" si="7"/>
        <v/>
      </c>
      <c r="F486" s="12" t="str">
        <f>IF(COUNTIF(Дела!$A:$A,ROW()-1)&gt;0,VLOOKUP(ROW()-1,Дела!$A:$M,13,0),"")</f>
        <v/>
      </c>
      <c r="G486" s="13" t="str">
        <f>IF(COUNTIF(Дела!$A:$A,ROW()-1)&gt;0,VLOOKUP(ROW()-1,Дела!$A:$N,14,0),"")</f>
        <v/>
      </c>
      <c r="H486" s="11" t="str">
        <f>IF(COUNTIF(Дела!$A:$A,ROW()-1)&gt;0,VLOOKUP(ROW()-1,Дела!$A:$K,11,0),"")</f>
        <v/>
      </c>
    </row>
    <row r="487" spans="1:8" x14ac:dyDescent="0.25">
      <c r="A487" s="11" t="str">
        <f>IF(COUNTIF(Дела!$A:$A,ROW()-1)&gt;0,VLOOKUP(ROW()-1,Дела!$A:$C,3,0),"")</f>
        <v/>
      </c>
      <c r="B487" s="11" t="str">
        <f>IF(COUNTIF(Дела!$A:$A,ROW()-1)&gt;0,VLOOKUP(ROW()-1,Дела!$A:$F,6,0),"")</f>
        <v/>
      </c>
      <c r="C487" s="11" t="str">
        <f>IF(COUNTIF(Дела!$A:$A,ROW()-1)&gt;0,VLOOKUP(ROW()-1,Дела!$A:$G,7,0),"")</f>
        <v/>
      </c>
      <c r="D487" s="11" t="str">
        <f>IF(COUNTIF(Дела!$A:$A,ROW()-1)&gt;0,VLOOKUP(ROW()-1,Дела!$A:$I,9,0),"")</f>
        <v/>
      </c>
      <c r="E487" s="11" t="str">
        <f t="shared" si="7"/>
        <v/>
      </c>
      <c r="F487" s="12" t="str">
        <f>IF(COUNTIF(Дела!$A:$A,ROW()-1)&gt;0,VLOOKUP(ROW()-1,Дела!$A:$M,13,0),"")</f>
        <v/>
      </c>
      <c r="G487" s="13" t="str">
        <f>IF(COUNTIF(Дела!$A:$A,ROW()-1)&gt;0,VLOOKUP(ROW()-1,Дела!$A:$N,14,0),"")</f>
        <v/>
      </c>
      <c r="H487" s="11" t="str">
        <f>IF(COUNTIF(Дела!$A:$A,ROW()-1)&gt;0,VLOOKUP(ROW()-1,Дела!$A:$K,11,0),"")</f>
        <v/>
      </c>
    </row>
    <row r="488" spans="1:8" x14ac:dyDescent="0.25">
      <c r="A488" s="11" t="str">
        <f>IF(COUNTIF(Дела!$A:$A,ROW()-1)&gt;0,VLOOKUP(ROW()-1,Дела!$A:$C,3,0),"")</f>
        <v/>
      </c>
      <c r="B488" s="11" t="str">
        <f>IF(COUNTIF(Дела!$A:$A,ROW()-1)&gt;0,VLOOKUP(ROW()-1,Дела!$A:$F,6,0),"")</f>
        <v/>
      </c>
      <c r="C488" s="11" t="str">
        <f>IF(COUNTIF(Дела!$A:$A,ROW()-1)&gt;0,VLOOKUP(ROW()-1,Дела!$A:$G,7,0),"")</f>
        <v/>
      </c>
      <c r="D488" s="11" t="str">
        <f>IF(COUNTIF(Дела!$A:$A,ROW()-1)&gt;0,VLOOKUP(ROW()-1,Дела!$A:$I,9,0),"")</f>
        <v/>
      </c>
      <c r="E488" s="11" t="str">
        <f t="shared" si="7"/>
        <v/>
      </c>
      <c r="F488" s="12" t="str">
        <f>IF(COUNTIF(Дела!$A:$A,ROW()-1)&gt;0,VLOOKUP(ROW()-1,Дела!$A:$M,13,0),"")</f>
        <v/>
      </c>
      <c r="G488" s="13" t="str">
        <f>IF(COUNTIF(Дела!$A:$A,ROW()-1)&gt;0,VLOOKUP(ROW()-1,Дела!$A:$N,14,0),"")</f>
        <v/>
      </c>
      <c r="H488" s="11" t="str">
        <f>IF(COUNTIF(Дела!$A:$A,ROW()-1)&gt;0,VLOOKUP(ROW()-1,Дела!$A:$K,11,0),"")</f>
        <v/>
      </c>
    </row>
    <row r="489" spans="1:8" x14ac:dyDescent="0.25">
      <c r="A489" s="11" t="str">
        <f>IF(COUNTIF(Дела!$A:$A,ROW()-1)&gt;0,VLOOKUP(ROW()-1,Дела!$A:$C,3,0),"")</f>
        <v/>
      </c>
      <c r="B489" s="11" t="str">
        <f>IF(COUNTIF(Дела!$A:$A,ROW()-1)&gt;0,VLOOKUP(ROW()-1,Дела!$A:$F,6,0),"")</f>
        <v/>
      </c>
      <c r="C489" s="11" t="str">
        <f>IF(COUNTIF(Дела!$A:$A,ROW()-1)&gt;0,VLOOKUP(ROW()-1,Дела!$A:$G,7,0),"")</f>
        <v/>
      </c>
      <c r="D489" s="11" t="str">
        <f>IF(COUNTIF(Дела!$A:$A,ROW()-1)&gt;0,VLOOKUP(ROW()-1,Дела!$A:$I,9,0),"")</f>
        <v/>
      </c>
      <c r="E489" s="11" t="str">
        <f t="shared" si="7"/>
        <v/>
      </c>
      <c r="F489" s="12" t="str">
        <f>IF(COUNTIF(Дела!$A:$A,ROW()-1)&gt;0,VLOOKUP(ROW()-1,Дела!$A:$M,13,0),"")</f>
        <v/>
      </c>
      <c r="G489" s="13" t="str">
        <f>IF(COUNTIF(Дела!$A:$A,ROW()-1)&gt;0,VLOOKUP(ROW()-1,Дела!$A:$N,14,0),"")</f>
        <v/>
      </c>
      <c r="H489" s="11" t="str">
        <f>IF(COUNTIF(Дела!$A:$A,ROW()-1)&gt;0,VLOOKUP(ROW()-1,Дела!$A:$K,11,0),"")</f>
        <v/>
      </c>
    </row>
    <row r="490" spans="1:8" x14ac:dyDescent="0.25">
      <c r="A490" s="11" t="str">
        <f>IF(COUNTIF(Дела!$A:$A,ROW()-1)&gt;0,VLOOKUP(ROW()-1,Дела!$A:$C,3,0),"")</f>
        <v/>
      </c>
      <c r="B490" s="11" t="str">
        <f>IF(COUNTIF(Дела!$A:$A,ROW()-1)&gt;0,VLOOKUP(ROW()-1,Дела!$A:$F,6,0),"")</f>
        <v/>
      </c>
      <c r="C490" s="11" t="str">
        <f>IF(COUNTIF(Дела!$A:$A,ROW()-1)&gt;0,VLOOKUP(ROW()-1,Дела!$A:$G,7,0),"")</f>
        <v/>
      </c>
      <c r="D490" s="11" t="str">
        <f>IF(COUNTIF(Дела!$A:$A,ROW()-1)&gt;0,VLOOKUP(ROW()-1,Дела!$A:$I,9,0),"")</f>
        <v/>
      </c>
      <c r="E490" s="11" t="str">
        <f t="shared" si="7"/>
        <v/>
      </c>
      <c r="F490" s="12" t="str">
        <f>IF(COUNTIF(Дела!$A:$A,ROW()-1)&gt;0,VLOOKUP(ROW()-1,Дела!$A:$M,13,0),"")</f>
        <v/>
      </c>
      <c r="G490" s="13" t="str">
        <f>IF(COUNTIF(Дела!$A:$A,ROW()-1)&gt;0,VLOOKUP(ROW()-1,Дела!$A:$N,14,0),"")</f>
        <v/>
      </c>
      <c r="H490" s="11" t="str">
        <f>IF(COUNTIF(Дела!$A:$A,ROW()-1)&gt;0,VLOOKUP(ROW()-1,Дела!$A:$K,11,0),"")</f>
        <v/>
      </c>
    </row>
    <row r="491" spans="1:8" x14ac:dyDescent="0.25">
      <c r="A491" s="11" t="str">
        <f>IF(COUNTIF(Дела!$A:$A,ROW()-1)&gt;0,VLOOKUP(ROW()-1,Дела!$A:$C,3,0),"")</f>
        <v/>
      </c>
      <c r="B491" s="11" t="str">
        <f>IF(COUNTIF(Дела!$A:$A,ROW()-1)&gt;0,VLOOKUP(ROW()-1,Дела!$A:$F,6,0),"")</f>
        <v/>
      </c>
      <c r="C491" s="11" t="str">
        <f>IF(COUNTIF(Дела!$A:$A,ROW()-1)&gt;0,VLOOKUP(ROW()-1,Дела!$A:$G,7,0),"")</f>
        <v/>
      </c>
      <c r="D491" s="11" t="str">
        <f>IF(COUNTIF(Дела!$A:$A,ROW()-1)&gt;0,VLOOKUP(ROW()-1,Дела!$A:$I,9,0),"")</f>
        <v/>
      </c>
      <c r="E491" s="11" t="str">
        <f t="shared" si="7"/>
        <v/>
      </c>
      <c r="F491" s="12" t="str">
        <f>IF(COUNTIF(Дела!$A:$A,ROW()-1)&gt;0,VLOOKUP(ROW()-1,Дела!$A:$M,13,0),"")</f>
        <v/>
      </c>
      <c r="G491" s="13" t="str">
        <f>IF(COUNTIF(Дела!$A:$A,ROW()-1)&gt;0,VLOOKUP(ROW()-1,Дела!$A:$N,14,0),"")</f>
        <v/>
      </c>
      <c r="H491" s="11" t="str">
        <f>IF(COUNTIF(Дела!$A:$A,ROW()-1)&gt;0,VLOOKUP(ROW()-1,Дела!$A:$K,11,0),"")</f>
        <v/>
      </c>
    </row>
    <row r="492" spans="1:8" x14ac:dyDescent="0.25">
      <c r="A492" s="11" t="str">
        <f>IF(COUNTIF(Дела!$A:$A,ROW()-1)&gt;0,VLOOKUP(ROW()-1,Дела!$A:$C,3,0),"")</f>
        <v/>
      </c>
      <c r="B492" s="11" t="str">
        <f>IF(COUNTIF(Дела!$A:$A,ROW()-1)&gt;0,VLOOKUP(ROW()-1,Дела!$A:$F,6,0),"")</f>
        <v/>
      </c>
      <c r="C492" s="11" t="str">
        <f>IF(COUNTIF(Дела!$A:$A,ROW()-1)&gt;0,VLOOKUP(ROW()-1,Дела!$A:$G,7,0),"")</f>
        <v/>
      </c>
      <c r="D492" s="11" t="str">
        <f>IF(COUNTIF(Дела!$A:$A,ROW()-1)&gt;0,VLOOKUP(ROW()-1,Дела!$A:$I,9,0),"")</f>
        <v/>
      </c>
      <c r="E492" s="11" t="str">
        <f t="shared" si="7"/>
        <v/>
      </c>
      <c r="F492" s="12" t="str">
        <f>IF(COUNTIF(Дела!$A:$A,ROW()-1)&gt;0,VLOOKUP(ROW()-1,Дела!$A:$M,13,0),"")</f>
        <v/>
      </c>
      <c r="G492" s="13" t="str">
        <f>IF(COUNTIF(Дела!$A:$A,ROW()-1)&gt;0,VLOOKUP(ROW()-1,Дела!$A:$N,14,0),"")</f>
        <v/>
      </c>
      <c r="H492" s="11" t="str">
        <f>IF(COUNTIF(Дела!$A:$A,ROW()-1)&gt;0,VLOOKUP(ROW()-1,Дела!$A:$K,11,0),"")</f>
        <v/>
      </c>
    </row>
    <row r="493" spans="1:8" x14ac:dyDescent="0.25">
      <c r="A493" s="11" t="str">
        <f>IF(COUNTIF(Дела!$A:$A,ROW()-1)&gt;0,VLOOKUP(ROW()-1,Дела!$A:$C,3,0),"")</f>
        <v/>
      </c>
      <c r="B493" s="11" t="str">
        <f>IF(COUNTIF(Дела!$A:$A,ROW()-1)&gt;0,VLOOKUP(ROW()-1,Дела!$A:$F,6,0),"")</f>
        <v/>
      </c>
      <c r="C493" s="11" t="str">
        <f>IF(COUNTIF(Дела!$A:$A,ROW()-1)&gt;0,VLOOKUP(ROW()-1,Дела!$A:$G,7,0),"")</f>
        <v/>
      </c>
      <c r="D493" s="11" t="str">
        <f>IF(COUNTIF(Дела!$A:$A,ROW()-1)&gt;0,VLOOKUP(ROW()-1,Дела!$A:$I,9,0),"")</f>
        <v/>
      </c>
      <c r="E493" s="11" t="str">
        <f t="shared" si="7"/>
        <v/>
      </c>
      <c r="F493" s="12" t="str">
        <f>IF(COUNTIF(Дела!$A:$A,ROW()-1)&gt;0,VLOOKUP(ROW()-1,Дела!$A:$M,13,0),"")</f>
        <v/>
      </c>
      <c r="G493" s="13" t="str">
        <f>IF(COUNTIF(Дела!$A:$A,ROW()-1)&gt;0,VLOOKUP(ROW()-1,Дела!$A:$N,14,0),"")</f>
        <v/>
      </c>
      <c r="H493" s="11" t="str">
        <f>IF(COUNTIF(Дела!$A:$A,ROW()-1)&gt;0,VLOOKUP(ROW()-1,Дела!$A:$K,11,0),"")</f>
        <v/>
      </c>
    </row>
    <row r="494" spans="1:8" x14ac:dyDescent="0.25">
      <c r="A494" s="11" t="str">
        <f>IF(COUNTIF(Дела!$A:$A,ROW()-1)&gt;0,VLOOKUP(ROW()-1,Дела!$A:$C,3,0),"")</f>
        <v/>
      </c>
      <c r="B494" s="11" t="str">
        <f>IF(COUNTIF(Дела!$A:$A,ROW()-1)&gt;0,VLOOKUP(ROW()-1,Дела!$A:$F,6,0),"")</f>
        <v/>
      </c>
      <c r="C494" s="11" t="str">
        <f>IF(COUNTIF(Дела!$A:$A,ROW()-1)&gt;0,VLOOKUP(ROW()-1,Дела!$A:$G,7,0),"")</f>
        <v/>
      </c>
      <c r="D494" s="11" t="str">
        <f>IF(COUNTIF(Дела!$A:$A,ROW()-1)&gt;0,VLOOKUP(ROW()-1,Дела!$A:$I,9,0),"")</f>
        <v/>
      </c>
      <c r="E494" s="11" t="str">
        <f t="shared" si="7"/>
        <v/>
      </c>
      <c r="F494" s="12" t="str">
        <f>IF(COUNTIF(Дела!$A:$A,ROW()-1)&gt;0,VLOOKUP(ROW()-1,Дела!$A:$M,13,0),"")</f>
        <v/>
      </c>
      <c r="G494" s="13" t="str">
        <f>IF(COUNTIF(Дела!$A:$A,ROW()-1)&gt;0,VLOOKUP(ROW()-1,Дела!$A:$N,14,0),"")</f>
        <v/>
      </c>
      <c r="H494" s="11" t="str">
        <f>IF(COUNTIF(Дела!$A:$A,ROW()-1)&gt;0,VLOOKUP(ROW()-1,Дела!$A:$K,11,0),"")</f>
        <v/>
      </c>
    </row>
    <row r="495" spans="1:8" x14ac:dyDescent="0.25">
      <c r="A495" s="11" t="str">
        <f>IF(COUNTIF(Дела!$A:$A,ROW()-1)&gt;0,VLOOKUP(ROW()-1,Дела!$A:$C,3,0),"")</f>
        <v/>
      </c>
      <c r="B495" s="11" t="str">
        <f>IF(COUNTIF(Дела!$A:$A,ROW()-1)&gt;0,VLOOKUP(ROW()-1,Дела!$A:$F,6,0),"")</f>
        <v/>
      </c>
      <c r="C495" s="11" t="str">
        <f>IF(COUNTIF(Дела!$A:$A,ROW()-1)&gt;0,VLOOKUP(ROW()-1,Дела!$A:$G,7,0),"")</f>
        <v/>
      </c>
      <c r="D495" s="11" t="str">
        <f>IF(COUNTIF(Дела!$A:$A,ROW()-1)&gt;0,VLOOKUP(ROW()-1,Дела!$A:$I,9,0),"")</f>
        <v/>
      </c>
      <c r="E495" s="11" t="str">
        <f t="shared" si="7"/>
        <v/>
      </c>
      <c r="F495" s="12" t="str">
        <f>IF(COUNTIF(Дела!$A:$A,ROW()-1)&gt;0,VLOOKUP(ROW()-1,Дела!$A:$M,13,0),"")</f>
        <v/>
      </c>
      <c r="G495" s="13" t="str">
        <f>IF(COUNTIF(Дела!$A:$A,ROW()-1)&gt;0,VLOOKUP(ROW()-1,Дела!$A:$N,14,0),"")</f>
        <v/>
      </c>
      <c r="H495" s="11" t="str">
        <f>IF(COUNTIF(Дела!$A:$A,ROW()-1)&gt;0,VLOOKUP(ROW()-1,Дела!$A:$K,11,0),"")</f>
        <v/>
      </c>
    </row>
    <row r="496" spans="1:8" x14ac:dyDescent="0.25">
      <c r="A496" s="11" t="str">
        <f>IF(COUNTIF(Дела!$A:$A,ROW()-1)&gt;0,VLOOKUP(ROW()-1,Дела!$A:$C,3,0),"")</f>
        <v/>
      </c>
      <c r="B496" s="11" t="str">
        <f>IF(COUNTIF(Дела!$A:$A,ROW()-1)&gt;0,VLOOKUP(ROW()-1,Дела!$A:$F,6,0),"")</f>
        <v/>
      </c>
      <c r="C496" s="11" t="str">
        <f>IF(COUNTIF(Дела!$A:$A,ROW()-1)&gt;0,VLOOKUP(ROW()-1,Дела!$A:$G,7,0),"")</f>
        <v/>
      </c>
      <c r="D496" s="11" t="str">
        <f>IF(COUNTIF(Дела!$A:$A,ROW()-1)&gt;0,VLOOKUP(ROW()-1,Дела!$A:$I,9,0),"")</f>
        <v/>
      </c>
      <c r="E496" s="11" t="str">
        <f t="shared" si="7"/>
        <v/>
      </c>
      <c r="F496" s="12" t="str">
        <f>IF(COUNTIF(Дела!$A:$A,ROW()-1)&gt;0,VLOOKUP(ROW()-1,Дела!$A:$M,13,0),"")</f>
        <v/>
      </c>
      <c r="G496" s="13" t="str">
        <f>IF(COUNTIF(Дела!$A:$A,ROW()-1)&gt;0,VLOOKUP(ROW()-1,Дела!$A:$N,14,0),"")</f>
        <v/>
      </c>
      <c r="H496" s="11" t="str">
        <f>IF(COUNTIF(Дела!$A:$A,ROW()-1)&gt;0,VLOOKUP(ROW()-1,Дела!$A:$K,11,0),"")</f>
        <v/>
      </c>
    </row>
    <row r="497" spans="1:8" x14ac:dyDescent="0.25">
      <c r="A497" s="11" t="str">
        <f>IF(COUNTIF(Дела!$A:$A,ROW()-1)&gt;0,VLOOKUP(ROW()-1,Дела!$A:$C,3,0),"")</f>
        <v/>
      </c>
      <c r="B497" s="11" t="str">
        <f>IF(COUNTIF(Дела!$A:$A,ROW()-1)&gt;0,VLOOKUP(ROW()-1,Дела!$A:$F,6,0),"")</f>
        <v/>
      </c>
      <c r="C497" s="11" t="str">
        <f>IF(COUNTIF(Дела!$A:$A,ROW()-1)&gt;0,VLOOKUP(ROW()-1,Дела!$A:$G,7,0),"")</f>
        <v/>
      </c>
      <c r="D497" s="11" t="str">
        <f>IF(COUNTIF(Дела!$A:$A,ROW()-1)&gt;0,VLOOKUP(ROW()-1,Дела!$A:$I,9,0),"")</f>
        <v/>
      </c>
      <c r="E497" s="11" t="str">
        <f t="shared" si="7"/>
        <v/>
      </c>
      <c r="F497" s="12" t="str">
        <f>IF(COUNTIF(Дела!$A:$A,ROW()-1)&gt;0,VLOOKUP(ROW()-1,Дела!$A:$M,13,0),"")</f>
        <v/>
      </c>
      <c r="G497" s="13" t="str">
        <f>IF(COUNTIF(Дела!$A:$A,ROW()-1)&gt;0,VLOOKUP(ROW()-1,Дела!$A:$N,14,0),"")</f>
        <v/>
      </c>
      <c r="H497" s="11" t="str">
        <f>IF(COUNTIF(Дела!$A:$A,ROW()-1)&gt;0,VLOOKUP(ROW()-1,Дела!$A:$K,11,0),"")</f>
        <v/>
      </c>
    </row>
    <row r="498" spans="1:8" x14ac:dyDescent="0.25">
      <c r="A498" s="11" t="str">
        <f>IF(COUNTIF(Дела!$A:$A,ROW()-1)&gt;0,VLOOKUP(ROW()-1,Дела!$A:$C,3,0),"")</f>
        <v/>
      </c>
      <c r="B498" s="11" t="str">
        <f>IF(COUNTIF(Дела!$A:$A,ROW()-1)&gt;0,VLOOKUP(ROW()-1,Дела!$A:$F,6,0),"")</f>
        <v/>
      </c>
      <c r="C498" s="11" t="str">
        <f>IF(COUNTIF(Дела!$A:$A,ROW()-1)&gt;0,VLOOKUP(ROW()-1,Дела!$A:$G,7,0),"")</f>
        <v/>
      </c>
      <c r="D498" s="11" t="str">
        <f>IF(COUNTIF(Дела!$A:$A,ROW()-1)&gt;0,VLOOKUP(ROW()-1,Дела!$A:$I,9,0),"")</f>
        <v/>
      </c>
      <c r="E498" s="11" t="str">
        <f t="shared" si="7"/>
        <v/>
      </c>
      <c r="F498" s="12" t="str">
        <f>IF(COUNTIF(Дела!$A:$A,ROW()-1)&gt;0,VLOOKUP(ROW()-1,Дела!$A:$M,13,0),"")</f>
        <v/>
      </c>
      <c r="G498" s="13" t="str">
        <f>IF(COUNTIF(Дела!$A:$A,ROW()-1)&gt;0,VLOOKUP(ROW()-1,Дела!$A:$N,14,0),"")</f>
        <v/>
      </c>
      <c r="H498" s="11" t="str">
        <f>IF(COUNTIF(Дела!$A:$A,ROW()-1)&gt;0,VLOOKUP(ROW()-1,Дела!$A:$K,11,0),"")</f>
        <v/>
      </c>
    </row>
    <row r="499" spans="1:8" x14ac:dyDescent="0.25">
      <c r="A499" s="11" t="str">
        <f>IF(COUNTIF(Дела!$A:$A,ROW()-1)&gt;0,VLOOKUP(ROW()-1,Дела!$A:$C,3,0),"")</f>
        <v/>
      </c>
      <c r="B499" s="11" t="str">
        <f>IF(COUNTIF(Дела!$A:$A,ROW()-1)&gt;0,VLOOKUP(ROW()-1,Дела!$A:$F,6,0),"")</f>
        <v/>
      </c>
      <c r="C499" s="11" t="str">
        <f>IF(COUNTIF(Дела!$A:$A,ROW()-1)&gt;0,VLOOKUP(ROW()-1,Дела!$A:$G,7,0),"")</f>
        <v/>
      </c>
      <c r="D499" s="11" t="str">
        <f>IF(COUNTIF(Дела!$A:$A,ROW()-1)&gt;0,VLOOKUP(ROW()-1,Дела!$A:$I,9,0),"")</f>
        <v/>
      </c>
      <c r="E499" s="11" t="str">
        <f t="shared" si="7"/>
        <v/>
      </c>
      <c r="F499" s="12" t="str">
        <f>IF(COUNTIF(Дела!$A:$A,ROW()-1)&gt;0,VLOOKUP(ROW()-1,Дела!$A:$M,13,0),"")</f>
        <v/>
      </c>
      <c r="G499" s="13" t="str">
        <f>IF(COUNTIF(Дела!$A:$A,ROW()-1)&gt;0,VLOOKUP(ROW()-1,Дела!$A:$N,14,0),"")</f>
        <v/>
      </c>
      <c r="H499" s="11" t="str">
        <f>IF(COUNTIF(Дела!$A:$A,ROW()-1)&gt;0,VLOOKUP(ROW()-1,Дела!$A:$K,11,0),"")</f>
        <v/>
      </c>
    </row>
    <row r="500" spans="1:8" x14ac:dyDescent="0.25">
      <c r="A500" s="11" t="str">
        <f>IF(COUNTIF(Дела!$A:$A,ROW()-1)&gt;0,VLOOKUP(ROW()-1,Дела!$A:$C,3,0),"")</f>
        <v/>
      </c>
      <c r="B500" s="11" t="str">
        <f>IF(COUNTIF(Дела!$A:$A,ROW()-1)&gt;0,VLOOKUP(ROW()-1,Дела!$A:$F,6,0),"")</f>
        <v/>
      </c>
      <c r="C500" s="11" t="str">
        <f>IF(COUNTIF(Дела!$A:$A,ROW()-1)&gt;0,VLOOKUP(ROW()-1,Дела!$A:$G,7,0),"")</f>
        <v/>
      </c>
      <c r="D500" s="11" t="str">
        <f>IF(COUNTIF(Дела!$A:$A,ROW()-1)&gt;0,VLOOKUP(ROW()-1,Дела!$A:$I,9,0),"")</f>
        <v/>
      </c>
      <c r="E500" s="11" t="str">
        <f t="shared" si="7"/>
        <v/>
      </c>
      <c r="F500" s="12" t="str">
        <f>IF(COUNTIF(Дела!$A:$A,ROW()-1)&gt;0,VLOOKUP(ROW()-1,Дела!$A:$M,13,0),"")</f>
        <v/>
      </c>
      <c r="G500" s="13" t="str">
        <f>IF(COUNTIF(Дела!$A:$A,ROW()-1)&gt;0,VLOOKUP(ROW()-1,Дела!$A:$N,14,0),"")</f>
        <v/>
      </c>
      <c r="H500" s="11" t="str">
        <f>IF(COUNTIF(Дела!$A:$A,ROW()-1)&gt;0,VLOOKUP(ROW()-1,Дела!$A:$K,11,0),"")</f>
        <v/>
      </c>
    </row>
    <row r="501" spans="1:8" x14ac:dyDescent="0.25">
      <c r="A501" s="11" t="str">
        <f>IF(COUNTIF(Дела!$A:$A,ROW()-1)&gt;0,VLOOKUP(ROW()-1,Дела!$A:$C,3,0),"")</f>
        <v/>
      </c>
      <c r="B501" s="11" t="str">
        <f>IF(COUNTIF(Дела!$A:$A,ROW()-1)&gt;0,VLOOKUP(ROW()-1,Дела!$A:$F,6,0),"")</f>
        <v/>
      </c>
      <c r="C501" s="11" t="str">
        <f>IF(COUNTIF(Дела!$A:$A,ROW()-1)&gt;0,VLOOKUP(ROW()-1,Дела!$A:$G,7,0),"")</f>
        <v/>
      </c>
      <c r="D501" s="11" t="str">
        <f>IF(COUNTIF(Дела!$A:$A,ROW()-1)&gt;0,VLOOKUP(ROW()-1,Дела!$A:$I,9,0),"")</f>
        <v/>
      </c>
      <c r="E501" s="11" t="str">
        <f t="shared" si="7"/>
        <v/>
      </c>
      <c r="F501" s="12" t="str">
        <f>IF(COUNTIF(Дела!$A:$A,ROW()-1)&gt;0,VLOOKUP(ROW()-1,Дела!$A:$M,13,0),"")</f>
        <v/>
      </c>
      <c r="G501" s="13" t="str">
        <f>IF(COUNTIF(Дела!$A:$A,ROW()-1)&gt;0,VLOOKUP(ROW()-1,Дела!$A:$N,14,0),"")</f>
        <v/>
      </c>
      <c r="H501" s="11" t="str">
        <f>IF(COUNTIF(Дела!$A:$A,ROW()-1)&gt;0,VLOOKUP(ROW()-1,Дела!$A:$K,11,0),"")</f>
        <v/>
      </c>
    </row>
    <row r="502" spans="1:8" x14ac:dyDescent="0.25">
      <c r="A502" s="11" t="str">
        <f>IF(COUNTIF(Дела!$A:$A,ROW()-1)&gt;0,VLOOKUP(ROW()-1,Дела!$A:$C,3,0),"")</f>
        <v/>
      </c>
      <c r="B502" s="11" t="str">
        <f>IF(COUNTIF(Дела!$A:$A,ROW()-1)&gt;0,VLOOKUP(ROW()-1,Дела!$A:$F,6,0),"")</f>
        <v/>
      </c>
      <c r="C502" s="11" t="str">
        <f>IF(COUNTIF(Дела!$A:$A,ROW()-1)&gt;0,VLOOKUP(ROW()-1,Дела!$A:$G,7,0),"")</f>
        <v/>
      </c>
      <c r="D502" s="11" t="str">
        <f>IF(COUNTIF(Дела!$A:$A,ROW()-1)&gt;0,VLOOKUP(ROW()-1,Дела!$A:$I,9,0),"")</f>
        <v/>
      </c>
      <c r="E502" s="11" t="str">
        <f t="shared" si="7"/>
        <v/>
      </c>
      <c r="F502" s="12" t="str">
        <f>IF(COUNTIF(Дела!$A:$A,ROW()-1)&gt;0,VLOOKUP(ROW()-1,Дела!$A:$M,13,0),"")</f>
        <v/>
      </c>
      <c r="G502" s="13" t="str">
        <f>IF(COUNTIF(Дела!$A:$A,ROW()-1)&gt;0,VLOOKUP(ROW()-1,Дела!$A:$N,14,0),"")</f>
        <v/>
      </c>
      <c r="H502" s="11" t="str">
        <f>IF(COUNTIF(Дела!$A:$A,ROW()-1)&gt;0,VLOOKUP(ROW()-1,Дела!$A:$K,11,0),"")</f>
        <v/>
      </c>
    </row>
    <row r="503" spans="1:8" x14ac:dyDescent="0.25">
      <c r="A503" s="11" t="str">
        <f>IF(COUNTIF(Дела!$A:$A,ROW()-1)&gt;0,VLOOKUP(ROW()-1,Дела!$A:$C,3,0),"")</f>
        <v/>
      </c>
      <c r="B503" s="11" t="str">
        <f>IF(COUNTIF(Дела!$A:$A,ROW()-1)&gt;0,VLOOKUP(ROW()-1,Дела!$A:$F,6,0),"")</f>
        <v/>
      </c>
      <c r="C503" s="11" t="str">
        <f>IF(COUNTIF(Дела!$A:$A,ROW()-1)&gt;0,VLOOKUP(ROW()-1,Дела!$A:$G,7,0),"")</f>
        <v/>
      </c>
      <c r="D503" s="11" t="str">
        <f>IF(COUNTIF(Дела!$A:$A,ROW()-1)&gt;0,VLOOKUP(ROW()-1,Дела!$A:$I,9,0),"")</f>
        <v/>
      </c>
      <c r="E503" s="11" t="str">
        <f t="shared" si="7"/>
        <v/>
      </c>
      <c r="F503" s="12" t="str">
        <f>IF(COUNTIF(Дела!$A:$A,ROW()-1)&gt;0,VLOOKUP(ROW()-1,Дела!$A:$M,13,0),"")</f>
        <v/>
      </c>
      <c r="G503" s="13" t="str">
        <f>IF(COUNTIF(Дела!$A:$A,ROW()-1)&gt;0,VLOOKUP(ROW()-1,Дела!$A:$N,14,0),"")</f>
        <v/>
      </c>
      <c r="H503" s="11" t="str">
        <f>IF(COUNTIF(Дела!$A:$A,ROW()-1)&gt;0,VLOOKUP(ROW()-1,Дела!$A:$K,11,0),"")</f>
        <v/>
      </c>
    </row>
    <row r="504" spans="1:8" x14ac:dyDescent="0.25">
      <c r="A504" s="11" t="str">
        <f>IF(COUNTIF(Дела!$A:$A,ROW()-1)&gt;0,VLOOKUP(ROW()-1,Дела!$A:$C,3,0),"")</f>
        <v/>
      </c>
      <c r="B504" s="11" t="str">
        <f>IF(COUNTIF(Дела!$A:$A,ROW()-1)&gt;0,VLOOKUP(ROW()-1,Дела!$A:$F,6,0),"")</f>
        <v/>
      </c>
      <c r="C504" s="11" t="str">
        <f>IF(COUNTIF(Дела!$A:$A,ROW()-1)&gt;0,VLOOKUP(ROW()-1,Дела!$A:$G,7,0),"")</f>
        <v/>
      </c>
      <c r="D504" s="11" t="str">
        <f>IF(COUNTIF(Дела!$A:$A,ROW()-1)&gt;0,VLOOKUP(ROW()-1,Дела!$A:$I,9,0),"")</f>
        <v/>
      </c>
      <c r="E504" s="11" t="str">
        <f t="shared" si="7"/>
        <v/>
      </c>
      <c r="F504" s="12" t="str">
        <f>IF(COUNTIF(Дела!$A:$A,ROW()-1)&gt;0,VLOOKUP(ROW()-1,Дела!$A:$M,13,0),"")</f>
        <v/>
      </c>
      <c r="G504" s="13" t="str">
        <f>IF(COUNTIF(Дела!$A:$A,ROW()-1)&gt;0,VLOOKUP(ROW()-1,Дела!$A:$N,14,0),"")</f>
        <v/>
      </c>
      <c r="H504" s="11" t="str">
        <f>IF(COUNTIF(Дела!$A:$A,ROW()-1)&gt;0,VLOOKUP(ROW()-1,Дела!$A:$K,11,0),"")</f>
        <v/>
      </c>
    </row>
    <row r="505" spans="1:8" x14ac:dyDescent="0.25">
      <c r="A505" s="11" t="str">
        <f>IF(COUNTIF(Дела!$A:$A,ROW()-1)&gt;0,VLOOKUP(ROW()-1,Дела!$A:$C,3,0),"")</f>
        <v/>
      </c>
      <c r="B505" s="11" t="str">
        <f>IF(COUNTIF(Дела!$A:$A,ROW()-1)&gt;0,VLOOKUP(ROW()-1,Дела!$A:$F,6,0),"")</f>
        <v/>
      </c>
      <c r="C505" s="11" t="str">
        <f>IF(COUNTIF(Дела!$A:$A,ROW()-1)&gt;0,VLOOKUP(ROW()-1,Дела!$A:$G,7,0),"")</f>
        <v/>
      </c>
      <c r="D505" s="11" t="str">
        <f>IF(COUNTIF(Дела!$A:$A,ROW()-1)&gt;0,VLOOKUP(ROW()-1,Дела!$A:$I,9,0),"")</f>
        <v/>
      </c>
      <c r="E505" s="11" t="str">
        <f t="shared" si="7"/>
        <v/>
      </c>
      <c r="F505" s="12" t="str">
        <f>IF(COUNTIF(Дела!$A:$A,ROW()-1)&gt;0,VLOOKUP(ROW()-1,Дела!$A:$M,13,0),"")</f>
        <v/>
      </c>
      <c r="G505" s="13" t="str">
        <f>IF(COUNTIF(Дела!$A:$A,ROW()-1)&gt;0,VLOOKUP(ROW()-1,Дела!$A:$N,14,0),"")</f>
        <v/>
      </c>
      <c r="H505" s="11" t="str">
        <f>IF(COUNTIF(Дела!$A:$A,ROW()-1)&gt;0,VLOOKUP(ROW()-1,Дела!$A:$K,11,0),"")</f>
        <v/>
      </c>
    </row>
    <row r="506" spans="1:8" x14ac:dyDescent="0.25">
      <c r="A506" s="11" t="str">
        <f>IF(COUNTIF(Дела!$A:$A,ROW()-1)&gt;0,VLOOKUP(ROW()-1,Дела!$A:$C,3,0),"")</f>
        <v/>
      </c>
      <c r="B506" s="11" t="str">
        <f>IF(COUNTIF(Дела!$A:$A,ROW()-1)&gt;0,VLOOKUP(ROW()-1,Дела!$A:$F,6,0),"")</f>
        <v/>
      </c>
      <c r="C506" s="11" t="str">
        <f>IF(COUNTIF(Дела!$A:$A,ROW()-1)&gt;0,VLOOKUP(ROW()-1,Дела!$A:$G,7,0),"")</f>
        <v/>
      </c>
      <c r="D506" s="11" t="str">
        <f>IF(COUNTIF(Дела!$A:$A,ROW()-1)&gt;0,VLOOKUP(ROW()-1,Дела!$A:$I,9,0),"")</f>
        <v/>
      </c>
      <c r="E506" s="11" t="str">
        <f t="shared" si="7"/>
        <v/>
      </c>
      <c r="F506" s="12" t="str">
        <f>IF(COUNTIF(Дела!$A:$A,ROW()-1)&gt;0,VLOOKUP(ROW()-1,Дела!$A:$M,13,0),"")</f>
        <v/>
      </c>
      <c r="G506" s="13" t="str">
        <f>IF(COUNTIF(Дела!$A:$A,ROW()-1)&gt;0,VLOOKUP(ROW()-1,Дела!$A:$N,14,0),"")</f>
        <v/>
      </c>
      <c r="H506" s="11" t="str">
        <f>IF(COUNTIF(Дела!$A:$A,ROW()-1)&gt;0,VLOOKUP(ROW()-1,Дела!$A:$K,11,0),"")</f>
        <v/>
      </c>
    </row>
    <row r="507" spans="1:8" x14ac:dyDescent="0.25">
      <c r="A507" s="11" t="str">
        <f>IF(COUNTIF(Дела!$A:$A,ROW()-1)&gt;0,VLOOKUP(ROW()-1,Дела!$A:$C,3,0),"")</f>
        <v/>
      </c>
      <c r="B507" s="11" t="str">
        <f>IF(COUNTIF(Дела!$A:$A,ROW()-1)&gt;0,VLOOKUP(ROW()-1,Дела!$A:$F,6,0),"")</f>
        <v/>
      </c>
      <c r="C507" s="11" t="str">
        <f>IF(COUNTIF(Дела!$A:$A,ROW()-1)&gt;0,VLOOKUP(ROW()-1,Дела!$A:$G,7,0),"")</f>
        <v/>
      </c>
      <c r="D507" s="11" t="str">
        <f>IF(COUNTIF(Дела!$A:$A,ROW()-1)&gt;0,VLOOKUP(ROW()-1,Дела!$A:$I,9,0),"")</f>
        <v/>
      </c>
      <c r="E507" s="11" t="str">
        <f t="shared" si="7"/>
        <v/>
      </c>
      <c r="F507" s="12" t="str">
        <f>IF(COUNTIF(Дела!$A:$A,ROW()-1)&gt;0,VLOOKUP(ROW()-1,Дела!$A:$M,13,0),"")</f>
        <v/>
      </c>
      <c r="G507" s="13" t="str">
        <f>IF(COUNTIF(Дела!$A:$A,ROW()-1)&gt;0,VLOOKUP(ROW()-1,Дела!$A:$N,14,0),"")</f>
        <v/>
      </c>
      <c r="H507" s="11" t="str">
        <f>IF(COUNTIF(Дела!$A:$A,ROW()-1)&gt;0,VLOOKUP(ROW()-1,Дела!$A:$K,11,0),"")</f>
        <v/>
      </c>
    </row>
    <row r="508" spans="1:8" x14ac:dyDescent="0.25">
      <c r="A508" s="11" t="str">
        <f>IF(COUNTIF(Дела!$A:$A,ROW()-1)&gt;0,VLOOKUP(ROW()-1,Дела!$A:$C,3,0),"")</f>
        <v/>
      </c>
      <c r="B508" s="11" t="str">
        <f>IF(COUNTIF(Дела!$A:$A,ROW()-1)&gt;0,VLOOKUP(ROW()-1,Дела!$A:$F,6,0),"")</f>
        <v/>
      </c>
      <c r="C508" s="11" t="str">
        <f>IF(COUNTIF(Дела!$A:$A,ROW()-1)&gt;0,VLOOKUP(ROW()-1,Дела!$A:$G,7,0),"")</f>
        <v/>
      </c>
      <c r="D508" s="11" t="str">
        <f>IF(COUNTIF(Дела!$A:$A,ROW()-1)&gt;0,VLOOKUP(ROW()-1,Дела!$A:$I,9,0),"")</f>
        <v/>
      </c>
      <c r="E508" s="11" t="str">
        <f t="shared" si="7"/>
        <v/>
      </c>
      <c r="F508" s="12" t="str">
        <f>IF(COUNTIF(Дела!$A:$A,ROW()-1)&gt;0,VLOOKUP(ROW()-1,Дела!$A:$M,13,0),"")</f>
        <v/>
      </c>
      <c r="G508" s="13" t="str">
        <f>IF(COUNTIF(Дела!$A:$A,ROW()-1)&gt;0,VLOOKUP(ROW()-1,Дела!$A:$N,14,0),"")</f>
        <v/>
      </c>
      <c r="H508" s="11" t="str">
        <f>IF(COUNTIF(Дела!$A:$A,ROW()-1)&gt;0,VLOOKUP(ROW()-1,Дела!$A:$K,11,0),"")</f>
        <v/>
      </c>
    </row>
    <row r="509" spans="1:8" x14ac:dyDescent="0.25">
      <c r="A509" s="11" t="str">
        <f>IF(COUNTIF(Дела!$A:$A,ROW()-1)&gt;0,VLOOKUP(ROW()-1,Дела!$A:$C,3,0),"")</f>
        <v/>
      </c>
      <c r="B509" s="11" t="str">
        <f>IF(COUNTIF(Дела!$A:$A,ROW()-1)&gt;0,VLOOKUP(ROW()-1,Дела!$A:$F,6,0),"")</f>
        <v/>
      </c>
      <c r="C509" s="11" t="str">
        <f>IF(COUNTIF(Дела!$A:$A,ROW()-1)&gt;0,VLOOKUP(ROW()-1,Дела!$A:$G,7,0),"")</f>
        <v/>
      </c>
      <c r="D509" s="11" t="str">
        <f>IF(COUNTIF(Дела!$A:$A,ROW()-1)&gt;0,VLOOKUP(ROW()-1,Дела!$A:$I,9,0),"")</f>
        <v/>
      </c>
      <c r="E509" s="11" t="str">
        <f t="shared" si="7"/>
        <v/>
      </c>
      <c r="F509" s="12" t="str">
        <f>IF(COUNTIF(Дела!$A:$A,ROW()-1)&gt;0,VLOOKUP(ROW()-1,Дела!$A:$M,13,0),"")</f>
        <v/>
      </c>
      <c r="G509" s="13" t="str">
        <f>IF(COUNTIF(Дела!$A:$A,ROW()-1)&gt;0,VLOOKUP(ROW()-1,Дела!$A:$N,14,0),"")</f>
        <v/>
      </c>
      <c r="H509" s="11" t="str">
        <f>IF(COUNTIF(Дела!$A:$A,ROW()-1)&gt;0,VLOOKUP(ROW()-1,Дела!$A:$K,11,0),"")</f>
        <v/>
      </c>
    </row>
    <row r="510" spans="1:8" x14ac:dyDescent="0.25">
      <c r="A510" s="11" t="str">
        <f>IF(COUNTIF(Дела!$A:$A,ROW()-1)&gt;0,VLOOKUP(ROW()-1,Дела!$A:$C,3,0),"")</f>
        <v/>
      </c>
      <c r="B510" s="11" t="str">
        <f>IF(COUNTIF(Дела!$A:$A,ROW()-1)&gt;0,VLOOKUP(ROW()-1,Дела!$A:$F,6,0),"")</f>
        <v/>
      </c>
      <c r="C510" s="11" t="str">
        <f>IF(COUNTIF(Дела!$A:$A,ROW()-1)&gt;0,VLOOKUP(ROW()-1,Дела!$A:$G,7,0),"")</f>
        <v/>
      </c>
      <c r="D510" s="11" t="str">
        <f>IF(COUNTIF(Дела!$A:$A,ROW()-1)&gt;0,VLOOKUP(ROW()-1,Дела!$A:$I,9,0),"")</f>
        <v/>
      </c>
      <c r="E510" s="11" t="str">
        <f t="shared" si="7"/>
        <v/>
      </c>
      <c r="F510" s="12" t="str">
        <f>IF(COUNTIF(Дела!$A:$A,ROW()-1)&gt;0,VLOOKUP(ROW()-1,Дела!$A:$M,13,0),"")</f>
        <v/>
      </c>
      <c r="G510" s="13" t="str">
        <f>IF(COUNTIF(Дела!$A:$A,ROW()-1)&gt;0,VLOOKUP(ROW()-1,Дела!$A:$N,14,0),"")</f>
        <v/>
      </c>
      <c r="H510" s="11" t="str">
        <f>IF(COUNTIF(Дела!$A:$A,ROW()-1)&gt;0,VLOOKUP(ROW()-1,Дела!$A:$K,11,0),"")</f>
        <v/>
      </c>
    </row>
    <row r="511" spans="1:8" x14ac:dyDescent="0.25">
      <c r="A511" s="11" t="str">
        <f>IF(COUNTIF(Дела!$A:$A,ROW()-1)&gt;0,VLOOKUP(ROW()-1,Дела!$A:$C,3,0),"")</f>
        <v/>
      </c>
      <c r="B511" s="11" t="str">
        <f>IF(COUNTIF(Дела!$A:$A,ROW()-1)&gt;0,VLOOKUP(ROW()-1,Дела!$A:$F,6,0),"")</f>
        <v/>
      </c>
      <c r="C511" s="11" t="str">
        <f>IF(COUNTIF(Дела!$A:$A,ROW()-1)&gt;0,VLOOKUP(ROW()-1,Дела!$A:$G,7,0),"")</f>
        <v/>
      </c>
      <c r="D511" s="11" t="str">
        <f>IF(COUNTIF(Дела!$A:$A,ROW()-1)&gt;0,VLOOKUP(ROW()-1,Дела!$A:$I,9,0),"")</f>
        <v/>
      </c>
      <c r="E511" s="11" t="str">
        <f t="shared" si="7"/>
        <v/>
      </c>
      <c r="F511" s="12" t="str">
        <f>IF(COUNTIF(Дела!$A:$A,ROW()-1)&gt;0,VLOOKUP(ROW()-1,Дела!$A:$M,13,0),"")</f>
        <v/>
      </c>
      <c r="G511" s="13" t="str">
        <f>IF(COUNTIF(Дела!$A:$A,ROW()-1)&gt;0,VLOOKUP(ROW()-1,Дела!$A:$N,14,0),"")</f>
        <v/>
      </c>
      <c r="H511" s="11" t="str">
        <f>IF(COUNTIF(Дела!$A:$A,ROW()-1)&gt;0,VLOOKUP(ROW()-1,Дела!$A:$K,11,0),"")</f>
        <v/>
      </c>
    </row>
    <row r="512" spans="1:8" x14ac:dyDescent="0.25">
      <c r="A512" s="11" t="str">
        <f>IF(COUNTIF(Дела!$A:$A,ROW()-1)&gt;0,VLOOKUP(ROW()-1,Дела!$A:$C,3,0),"")</f>
        <v/>
      </c>
      <c r="B512" s="11" t="str">
        <f>IF(COUNTIF(Дела!$A:$A,ROW()-1)&gt;0,VLOOKUP(ROW()-1,Дела!$A:$F,6,0),"")</f>
        <v/>
      </c>
      <c r="C512" s="11" t="str">
        <f>IF(COUNTIF(Дела!$A:$A,ROW()-1)&gt;0,VLOOKUP(ROW()-1,Дела!$A:$G,7,0),"")</f>
        <v/>
      </c>
      <c r="D512" s="11" t="str">
        <f>IF(COUNTIF(Дела!$A:$A,ROW()-1)&gt;0,VLOOKUP(ROW()-1,Дела!$A:$I,9,0),"")</f>
        <v/>
      </c>
      <c r="E512" s="11" t="str">
        <f t="shared" si="7"/>
        <v/>
      </c>
      <c r="F512" s="12" t="str">
        <f>IF(COUNTIF(Дела!$A:$A,ROW()-1)&gt;0,VLOOKUP(ROW()-1,Дела!$A:$M,13,0),"")</f>
        <v/>
      </c>
      <c r="G512" s="13" t="str">
        <f>IF(COUNTIF(Дела!$A:$A,ROW()-1)&gt;0,VLOOKUP(ROW()-1,Дела!$A:$N,14,0),"")</f>
        <v/>
      </c>
      <c r="H512" s="11" t="str">
        <f>IF(COUNTIF(Дела!$A:$A,ROW()-1)&gt;0,VLOOKUP(ROW()-1,Дела!$A:$K,11,0),"")</f>
        <v/>
      </c>
    </row>
    <row r="513" spans="1:8" x14ac:dyDescent="0.25">
      <c r="A513" s="11" t="str">
        <f>IF(COUNTIF(Дела!$A:$A,ROW()-1)&gt;0,VLOOKUP(ROW()-1,Дела!$A:$C,3,0),"")</f>
        <v/>
      </c>
      <c r="B513" s="11" t="str">
        <f>IF(COUNTIF(Дела!$A:$A,ROW()-1)&gt;0,VLOOKUP(ROW()-1,Дела!$A:$F,6,0),"")</f>
        <v/>
      </c>
      <c r="C513" s="11" t="str">
        <f>IF(COUNTIF(Дела!$A:$A,ROW()-1)&gt;0,VLOOKUP(ROW()-1,Дела!$A:$G,7,0),"")</f>
        <v/>
      </c>
      <c r="D513" s="11" t="str">
        <f>IF(COUNTIF(Дела!$A:$A,ROW()-1)&gt;0,VLOOKUP(ROW()-1,Дела!$A:$I,9,0),"")</f>
        <v/>
      </c>
      <c r="E513" s="11" t="str">
        <f t="shared" si="7"/>
        <v/>
      </c>
      <c r="F513" s="12" t="str">
        <f>IF(COUNTIF(Дела!$A:$A,ROW()-1)&gt;0,VLOOKUP(ROW()-1,Дела!$A:$M,13,0),"")</f>
        <v/>
      </c>
      <c r="G513" s="13" t="str">
        <f>IF(COUNTIF(Дела!$A:$A,ROW()-1)&gt;0,VLOOKUP(ROW()-1,Дела!$A:$N,14,0),"")</f>
        <v/>
      </c>
      <c r="H513" s="11" t="str">
        <f>IF(COUNTIF(Дела!$A:$A,ROW()-1)&gt;0,VLOOKUP(ROW()-1,Дела!$A:$K,11,0),"")</f>
        <v/>
      </c>
    </row>
    <row r="514" spans="1:8" x14ac:dyDescent="0.25">
      <c r="A514" s="11" t="str">
        <f>IF(COUNTIF(Дела!$A:$A,ROW()-1)&gt;0,VLOOKUP(ROW()-1,Дела!$A:$C,3,0),"")</f>
        <v/>
      </c>
      <c r="B514" s="11" t="str">
        <f>IF(COUNTIF(Дела!$A:$A,ROW()-1)&gt;0,VLOOKUP(ROW()-1,Дела!$A:$F,6,0),"")</f>
        <v/>
      </c>
      <c r="C514" s="11" t="str">
        <f>IF(COUNTIF(Дела!$A:$A,ROW()-1)&gt;0,VLOOKUP(ROW()-1,Дела!$A:$G,7,0),"")</f>
        <v/>
      </c>
      <c r="D514" s="11" t="str">
        <f>IF(COUNTIF(Дела!$A:$A,ROW()-1)&gt;0,VLOOKUP(ROW()-1,Дела!$A:$I,9,0),"")</f>
        <v/>
      </c>
      <c r="E514" s="11" t="str">
        <f t="shared" si="7"/>
        <v/>
      </c>
      <c r="F514" s="12" t="str">
        <f>IF(COUNTIF(Дела!$A:$A,ROW()-1)&gt;0,VLOOKUP(ROW()-1,Дела!$A:$M,13,0),"")</f>
        <v/>
      </c>
      <c r="G514" s="13" t="str">
        <f>IF(COUNTIF(Дела!$A:$A,ROW()-1)&gt;0,VLOOKUP(ROW()-1,Дела!$A:$N,14,0),"")</f>
        <v/>
      </c>
      <c r="H514" s="11" t="str">
        <f>IF(COUNTIF(Дела!$A:$A,ROW()-1)&gt;0,VLOOKUP(ROW()-1,Дела!$A:$K,11,0),"")</f>
        <v/>
      </c>
    </row>
    <row r="515" spans="1:8" x14ac:dyDescent="0.25">
      <c r="A515" s="11" t="str">
        <f>IF(COUNTIF(Дела!$A:$A,ROW()-1)&gt;0,VLOOKUP(ROW()-1,Дела!$A:$C,3,0),"")</f>
        <v/>
      </c>
      <c r="B515" s="11" t="str">
        <f>IF(COUNTIF(Дела!$A:$A,ROW()-1)&gt;0,VLOOKUP(ROW()-1,Дела!$A:$F,6,0),"")</f>
        <v/>
      </c>
      <c r="C515" s="11" t="str">
        <f>IF(COUNTIF(Дела!$A:$A,ROW()-1)&gt;0,VLOOKUP(ROW()-1,Дела!$A:$G,7,0),"")</f>
        <v/>
      </c>
      <c r="D515" s="11" t="str">
        <f>IF(COUNTIF(Дела!$A:$A,ROW()-1)&gt;0,VLOOKUP(ROW()-1,Дела!$A:$I,9,0),"")</f>
        <v/>
      </c>
      <c r="E515" s="11" t="str">
        <f t="shared" ref="E515:E578" si="8">IF(H515="","",MID(H515,SEARCH(" ",H515)+1,1000))</f>
        <v/>
      </c>
      <c r="F515" s="12" t="str">
        <f>IF(COUNTIF(Дела!$A:$A,ROW()-1)&gt;0,VLOOKUP(ROW()-1,Дела!$A:$M,13,0),"")</f>
        <v/>
      </c>
      <c r="G515" s="13" t="str">
        <f>IF(COUNTIF(Дела!$A:$A,ROW()-1)&gt;0,VLOOKUP(ROW()-1,Дела!$A:$N,14,0),"")</f>
        <v/>
      </c>
      <c r="H515" s="11" t="str">
        <f>IF(COUNTIF(Дела!$A:$A,ROW()-1)&gt;0,VLOOKUP(ROW()-1,Дела!$A:$K,11,0),"")</f>
        <v/>
      </c>
    </row>
    <row r="516" spans="1:8" x14ac:dyDescent="0.25">
      <c r="A516" s="11" t="str">
        <f>IF(COUNTIF(Дела!$A:$A,ROW()-1)&gt;0,VLOOKUP(ROW()-1,Дела!$A:$C,3,0),"")</f>
        <v/>
      </c>
      <c r="B516" s="11" t="str">
        <f>IF(COUNTIF(Дела!$A:$A,ROW()-1)&gt;0,VLOOKUP(ROW()-1,Дела!$A:$F,6,0),"")</f>
        <v/>
      </c>
      <c r="C516" s="11" t="str">
        <f>IF(COUNTIF(Дела!$A:$A,ROW()-1)&gt;0,VLOOKUP(ROW()-1,Дела!$A:$G,7,0),"")</f>
        <v/>
      </c>
      <c r="D516" s="11" t="str">
        <f>IF(COUNTIF(Дела!$A:$A,ROW()-1)&gt;0,VLOOKUP(ROW()-1,Дела!$A:$I,9,0),"")</f>
        <v/>
      </c>
      <c r="E516" s="11" t="str">
        <f t="shared" si="8"/>
        <v/>
      </c>
      <c r="F516" s="12" t="str">
        <f>IF(COUNTIF(Дела!$A:$A,ROW()-1)&gt;0,VLOOKUP(ROW()-1,Дела!$A:$M,13,0),"")</f>
        <v/>
      </c>
      <c r="G516" s="13" t="str">
        <f>IF(COUNTIF(Дела!$A:$A,ROW()-1)&gt;0,VLOOKUP(ROW()-1,Дела!$A:$N,14,0),"")</f>
        <v/>
      </c>
      <c r="H516" s="11" t="str">
        <f>IF(COUNTIF(Дела!$A:$A,ROW()-1)&gt;0,VLOOKUP(ROW()-1,Дела!$A:$K,11,0),"")</f>
        <v/>
      </c>
    </row>
    <row r="517" spans="1:8" x14ac:dyDescent="0.25">
      <c r="A517" s="11" t="str">
        <f>IF(COUNTIF(Дела!$A:$A,ROW()-1)&gt;0,VLOOKUP(ROW()-1,Дела!$A:$C,3,0),"")</f>
        <v/>
      </c>
      <c r="B517" s="11" t="str">
        <f>IF(COUNTIF(Дела!$A:$A,ROW()-1)&gt;0,VLOOKUP(ROW()-1,Дела!$A:$F,6,0),"")</f>
        <v/>
      </c>
      <c r="C517" s="11" t="str">
        <f>IF(COUNTIF(Дела!$A:$A,ROW()-1)&gt;0,VLOOKUP(ROW()-1,Дела!$A:$G,7,0),"")</f>
        <v/>
      </c>
      <c r="D517" s="11" t="str">
        <f>IF(COUNTIF(Дела!$A:$A,ROW()-1)&gt;0,VLOOKUP(ROW()-1,Дела!$A:$I,9,0),"")</f>
        <v/>
      </c>
      <c r="E517" s="11" t="str">
        <f t="shared" si="8"/>
        <v/>
      </c>
      <c r="F517" s="12" t="str">
        <f>IF(COUNTIF(Дела!$A:$A,ROW()-1)&gt;0,VLOOKUP(ROW()-1,Дела!$A:$M,13,0),"")</f>
        <v/>
      </c>
      <c r="G517" s="13" t="str">
        <f>IF(COUNTIF(Дела!$A:$A,ROW()-1)&gt;0,VLOOKUP(ROW()-1,Дела!$A:$N,14,0),"")</f>
        <v/>
      </c>
      <c r="H517" s="11" t="str">
        <f>IF(COUNTIF(Дела!$A:$A,ROW()-1)&gt;0,VLOOKUP(ROW()-1,Дела!$A:$K,11,0),"")</f>
        <v/>
      </c>
    </row>
    <row r="518" spans="1:8" x14ac:dyDescent="0.25">
      <c r="A518" s="11" t="str">
        <f>IF(COUNTIF(Дела!$A:$A,ROW()-1)&gt;0,VLOOKUP(ROW()-1,Дела!$A:$C,3,0),"")</f>
        <v/>
      </c>
      <c r="B518" s="11" t="str">
        <f>IF(COUNTIF(Дела!$A:$A,ROW()-1)&gt;0,VLOOKUP(ROW()-1,Дела!$A:$F,6,0),"")</f>
        <v/>
      </c>
      <c r="C518" s="11" t="str">
        <f>IF(COUNTIF(Дела!$A:$A,ROW()-1)&gt;0,VLOOKUP(ROW()-1,Дела!$A:$G,7,0),"")</f>
        <v/>
      </c>
      <c r="D518" s="11" t="str">
        <f>IF(COUNTIF(Дела!$A:$A,ROW()-1)&gt;0,VLOOKUP(ROW()-1,Дела!$A:$I,9,0),"")</f>
        <v/>
      </c>
      <c r="E518" s="11" t="str">
        <f t="shared" si="8"/>
        <v/>
      </c>
      <c r="F518" s="12" t="str">
        <f>IF(COUNTIF(Дела!$A:$A,ROW()-1)&gt;0,VLOOKUP(ROW()-1,Дела!$A:$M,13,0),"")</f>
        <v/>
      </c>
      <c r="G518" s="13" t="str">
        <f>IF(COUNTIF(Дела!$A:$A,ROW()-1)&gt;0,VLOOKUP(ROW()-1,Дела!$A:$N,14,0),"")</f>
        <v/>
      </c>
      <c r="H518" s="11" t="str">
        <f>IF(COUNTIF(Дела!$A:$A,ROW()-1)&gt;0,VLOOKUP(ROW()-1,Дела!$A:$K,11,0),"")</f>
        <v/>
      </c>
    </row>
    <row r="519" spans="1:8" x14ac:dyDescent="0.25">
      <c r="A519" s="11" t="str">
        <f>IF(COUNTIF(Дела!$A:$A,ROW()-1)&gt;0,VLOOKUP(ROW()-1,Дела!$A:$C,3,0),"")</f>
        <v/>
      </c>
      <c r="B519" s="11" t="str">
        <f>IF(COUNTIF(Дела!$A:$A,ROW()-1)&gt;0,VLOOKUP(ROW()-1,Дела!$A:$F,6,0),"")</f>
        <v/>
      </c>
      <c r="C519" s="11" t="str">
        <f>IF(COUNTIF(Дела!$A:$A,ROW()-1)&gt;0,VLOOKUP(ROW()-1,Дела!$A:$G,7,0),"")</f>
        <v/>
      </c>
      <c r="D519" s="11" t="str">
        <f>IF(COUNTIF(Дела!$A:$A,ROW()-1)&gt;0,VLOOKUP(ROW()-1,Дела!$A:$I,9,0),"")</f>
        <v/>
      </c>
      <c r="E519" s="11" t="str">
        <f t="shared" si="8"/>
        <v/>
      </c>
      <c r="F519" s="12" t="str">
        <f>IF(COUNTIF(Дела!$A:$A,ROW()-1)&gt;0,VLOOKUP(ROW()-1,Дела!$A:$M,13,0),"")</f>
        <v/>
      </c>
      <c r="G519" s="13" t="str">
        <f>IF(COUNTIF(Дела!$A:$A,ROW()-1)&gt;0,VLOOKUP(ROW()-1,Дела!$A:$N,14,0),"")</f>
        <v/>
      </c>
      <c r="H519" s="11" t="str">
        <f>IF(COUNTIF(Дела!$A:$A,ROW()-1)&gt;0,VLOOKUP(ROW()-1,Дела!$A:$K,11,0),"")</f>
        <v/>
      </c>
    </row>
    <row r="520" spans="1:8" x14ac:dyDescent="0.25">
      <c r="A520" s="11" t="str">
        <f>IF(COUNTIF(Дела!$A:$A,ROW()-1)&gt;0,VLOOKUP(ROW()-1,Дела!$A:$C,3,0),"")</f>
        <v/>
      </c>
      <c r="B520" s="11" t="str">
        <f>IF(COUNTIF(Дела!$A:$A,ROW()-1)&gt;0,VLOOKUP(ROW()-1,Дела!$A:$F,6,0),"")</f>
        <v/>
      </c>
      <c r="C520" s="11" t="str">
        <f>IF(COUNTIF(Дела!$A:$A,ROW()-1)&gt;0,VLOOKUP(ROW()-1,Дела!$A:$G,7,0),"")</f>
        <v/>
      </c>
      <c r="D520" s="11" t="str">
        <f>IF(COUNTIF(Дела!$A:$A,ROW()-1)&gt;0,VLOOKUP(ROW()-1,Дела!$A:$I,9,0),"")</f>
        <v/>
      </c>
      <c r="E520" s="11" t="str">
        <f t="shared" si="8"/>
        <v/>
      </c>
      <c r="F520" s="12" t="str">
        <f>IF(COUNTIF(Дела!$A:$A,ROW()-1)&gt;0,VLOOKUP(ROW()-1,Дела!$A:$M,13,0),"")</f>
        <v/>
      </c>
      <c r="G520" s="13" t="str">
        <f>IF(COUNTIF(Дела!$A:$A,ROW()-1)&gt;0,VLOOKUP(ROW()-1,Дела!$A:$N,14,0),"")</f>
        <v/>
      </c>
      <c r="H520" s="11" t="str">
        <f>IF(COUNTIF(Дела!$A:$A,ROW()-1)&gt;0,VLOOKUP(ROW()-1,Дела!$A:$K,11,0),"")</f>
        <v/>
      </c>
    </row>
    <row r="521" spans="1:8" x14ac:dyDescent="0.25">
      <c r="A521" s="11" t="str">
        <f>IF(COUNTIF(Дела!$A:$A,ROW()-1)&gt;0,VLOOKUP(ROW()-1,Дела!$A:$C,3,0),"")</f>
        <v/>
      </c>
      <c r="B521" s="11" t="str">
        <f>IF(COUNTIF(Дела!$A:$A,ROW()-1)&gt;0,VLOOKUP(ROW()-1,Дела!$A:$F,6,0),"")</f>
        <v/>
      </c>
      <c r="C521" s="11" t="str">
        <f>IF(COUNTIF(Дела!$A:$A,ROW()-1)&gt;0,VLOOKUP(ROW()-1,Дела!$A:$G,7,0),"")</f>
        <v/>
      </c>
      <c r="D521" s="11" t="str">
        <f>IF(COUNTIF(Дела!$A:$A,ROW()-1)&gt;0,VLOOKUP(ROW()-1,Дела!$A:$I,9,0),"")</f>
        <v/>
      </c>
      <c r="E521" s="11" t="str">
        <f t="shared" si="8"/>
        <v/>
      </c>
      <c r="F521" s="12" t="str">
        <f>IF(COUNTIF(Дела!$A:$A,ROW()-1)&gt;0,VLOOKUP(ROW()-1,Дела!$A:$M,13,0),"")</f>
        <v/>
      </c>
      <c r="G521" s="13" t="str">
        <f>IF(COUNTIF(Дела!$A:$A,ROW()-1)&gt;0,VLOOKUP(ROW()-1,Дела!$A:$N,14,0),"")</f>
        <v/>
      </c>
      <c r="H521" s="11" t="str">
        <f>IF(COUNTIF(Дела!$A:$A,ROW()-1)&gt;0,VLOOKUP(ROW()-1,Дела!$A:$K,11,0),"")</f>
        <v/>
      </c>
    </row>
    <row r="522" spans="1:8" x14ac:dyDescent="0.25">
      <c r="A522" s="11" t="str">
        <f>IF(COUNTIF(Дела!$A:$A,ROW()-1)&gt;0,VLOOKUP(ROW()-1,Дела!$A:$C,3,0),"")</f>
        <v/>
      </c>
      <c r="B522" s="11" t="str">
        <f>IF(COUNTIF(Дела!$A:$A,ROW()-1)&gt;0,VLOOKUP(ROW()-1,Дела!$A:$F,6,0),"")</f>
        <v/>
      </c>
      <c r="C522" s="11" t="str">
        <f>IF(COUNTIF(Дела!$A:$A,ROW()-1)&gt;0,VLOOKUP(ROW()-1,Дела!$A:$G,7,0),"")</f>
        <v/>
      </c>
      <c r="D522" s="11" t="str">
        <f>IF(COUNTIF(Дела!$A:$A,ROW()-1)&gt;0,VLOOKUP(ROW()-1,Дела!$A:$I,9,0),"")</f>
        <v/>
      </c>
      <c r="E522" s="11" t="str">
        <f t="shared" si="8"/>
        <v/>
      </c>
      <c r="F522" s="12" t="str">
        <f>IF(COUNTIF(Дела!$A:$A,ROW()-1)&gt;0,VLOOKUP(ROW()-1,Дела!$A:$M,13,0),"")</f>
        <v/>
      </c>
      <c r="G522" s="13" t="str">
        <f>IF(COUNTIF(Дела!$A:$A,ROW()-1)&gt;0,VLOOKUP(ROW()-1,Дела!$A:$N,14,0),"")</f>
        <v/>
      </c>
      <c r="H522" s="11" t="str">
        <f>IF(COUNTIF(Дела!$A:$A,ROW()-1)&gt;0,VLOOKUP(ROW()-1,Дела!$A:$K,11,0),"")</f>
        <v/>
      </c>
    </row>
    <row r="523" spans="1:8" x14ac:dyDescent="0.25">
      <c r="A523" s="11" t="str">
        <f>IF(COUNTIF(Дела!$A:$A,ROW()-1)&gt;0,VLOOKUP(ROW()-1,Дела!$A:$C,3,0),"")</f>
        <v/>
      </c>
      <c r="B523" s="11" t="str">
        <f>IF(COUNTIF(Дела!$A:$A,ROW()-1)&gt;0,VLOOKUP(ROW()-1,Дела!$A:$F,6,0),"")</f>
        <v/>
      </c>
      <c r="C523" s="11" t="str">
        <f>IF(COUNTIF(Дела!$A:$A,ROW()-1)&gt;0,VLOOKUP(ROW()-1,Дела!$A:$G,7,0),"")</f>
        <v/>
      </c>
      <c r="D523" s="11" t="str">
        <f>IF(COUNTIF(Дела!$A:$A,ROW()-1)&gt;0,VLOOKUP(ROW()-1,Дела!$A:$I,9,0),"")</f>
        <v/>
      </c>
      <c r="E523" s="11" t="str">
        <f t="shared" si="8"/>
        <v/>
      </c>
      <c r="F523" s="12" t="str">
        <f>IF(COUNTIF(Дела!$A:$A,ROW()-1)&gt;0,VLOOKUP(ROW()-1,Дела!$A:$M,13,0),"")</f>
        <v/>
      </c>
      <c r="G523" s="13" t="str">
        <f>IF(COUNTIF(Дела!$A:$A,ROW()-1)&gt;0,VLOOKUP(ROW()-1,Дела!$A:$N,14,0),"")</f>
        <v/>
      </c>
      <c r="H523" s="11" t="str">
        <f>IF(COUNTIF(Дела!$A:$A,ROW()-1)&gt;0,VLOOKUP(ROW()-1,Дела!$A:$K,11,0),"")</f>
        <v/>
      </c>
    </row>
    <row r="524" spans="1:8" x14ac:dyDescent="0.25">
      <c r="A524" s="11" t="str">
        <f>IF(COUNTIF(Дела!$A:$A,ROW()-1)&gt;0,VLOOKUP(ROW()-1,Дела!$A:$C,3,0),"")</f>
        <v/>
      </c>
      <c r="B524" s="11" t="str">
        <f>IF(COUNTIF(Дела!$A:$A,ROW()-1)&gt;0,VLOOKUP(ROW()-1,Дела!$A:$F,6,0),"")</f>
        <v/>
      </c>
      <c r="C524" s="11" t="str">
        <f>IF(COUNTIF(Дела!$A:$A,ROW()-1)&gt;0,VLOOKUP(ROW()-1,Дела!$A:$G,7,0),"")</f>
        <v/>
      </c>
      <c r="D524" s="11" t="str">
        <f>IF(COUNTIF(Дела!$A:$A,ROW()-1)&gt;0,VLOOKUP(ROW()-1,Дела!$A:$I,9,0),"")</f>
        <v/>
      </c>
      <c r="E524" s="11" t="str">
        <f t="shared" si="8"/>
        <v/>
      </c>
      <c r="F524" s="12" t="str">
        <f>IF(COUNTIF(Дела!$A:$A,ROW()-1)&gt;0,VLOOKUP(ROW()-1,Дела!$A:$M,13,0),"")</f>
        <v/>
      </c>
      <c r="G524" s="13" t="str">
        <f>IF(COUNTIF(Дела!$A:$A,ROW()-1)&gt;0,VLOOKUP(ROW()-1,Дела!$A:$N,14,0),"")</f>
        <v/>
      </c>
      <c r="H524" s="11" t="str">
        <f>IF(COUNTIF(Дела!$A:$A,ROW()-1)&gt;0,VLOOKUP(ROW()-1,Дела!$A:$K,11,0),"")</f>
        <v/>
      </c>
    </row>
    <row r="525" spans="1:8" x14ac:dyDescent="0.25">
      <c r="A525" s="11" t="str">
        <f>IF(COUNTIF(Дела!$A:$A,ROW()-1)&gt;0,VLOOKUP(ROW()-1,Дела!$A:$C,3,0),"")</f>
        <v/>
      </c>
      <c r="B525" s="11" t="str">
        <f>IF(COUNTIF(Дела!$A:$A,ROW()-1)&gt;0,VLOOKUP(ROW()-1,Дела!$A:$F,6,0),"")</f>
        <v/>
      </c>
      <c r="C525" s="11" t="str">
        <f>IF(COUNTIF(Дела!$A:$A,ROW()-1)&gt;0,VLOOKUP(ROW()-1,Дела!$A:$G,7,0),"")</f>
        <v/>
      </c>
      <c r="D525" s="11" t="str">
        <f>IF(COUNTIF(Дела!$A:$A,ROW()-1)&gt;0,VLOOKUP(ROW()-1,Дела!$A:$I,9,0),"")</f>
        <v/>
      </c>
      <c r="E525" s="11" t="str">
        <f t="shared" si="8"/>
        <v/>
      </c>
      <c r="F525" s="12" t="str">
        <f>IF(COUNTIF(Дела!$A:$A,ROW()-1)&gt;0,VLOOKUP(ROW()-1,Дела!$A:$M,13,0),"")</f>
        <v/>
      </c>
      <c r="G525" s="13" t="str">
        <f>IF(COUNTIF(Дела!$A:$A,ROW()-1)&gt;0,VLOOKUP(ROW()-1,Дела!$A:$N,14,0),"")</f>
        <v/>
      </c>
      <c r="H525" s="11" t="str">
        <f>IF(COUNTIF(Дела!$A:$A,ROW()-1)&gt;0,VLOOKUP(ROW()-1,Дела!$A:$K,11,0),"")</f>
        <v/>
      </c>
    </row>
    <row r="526" spans="1:8" x14ac:dyDescent="0.25">
      <c r="A526" s="11" t="str">
        <f>IF(COUNTIF(Дела!$A:$A,ROW()-1)&gt;0,VLOOKUP(ROW()-1,Дела!$A:$C,3,0),"")</f>
        <v/>
      </c>
      <c r="B526" s="11" t="str">
        <f>IF(COUNTIF(Дела!$A:$A,ROW()-1)&gt;0,VLOOKUP(ROW()-1,Дела!$A:$F,6,0),"")</f>
        <v/>
      </c>
      <c r="C526" s="11" t="str">
        <f>IF(COUNTIF(Дела!$A:$A,ROW()-1)&gt;0,VLOOKUP(ROW()-1,Дела!$A:$G,7,0),"")</f>
        <v/>
      </c>
      <c r="D526" s="11" t="str">
        <f>IF(COUNTIF(Дела!$A:$A,ROW()-1)&gt;0,VLOOKUP(ROW()-1,Дела!$A:$I,9,0),"")</f>
        <v/>
      </c>
      <c r="E526" s="11" t="str">
        <f t="shared" si="8"/>
        <v/>
      </c>
      <c r="F526" s="12" t="str">
        <f>IF(COUNTIF(Дела!$A:$A,ROW()-1)&gt;0,VLOOKUP(ROW()-1,Дела!$A:$M,13,0),"")</f>
        <v/>
      </c>
      <c r="G526" s="13" t="str">
        <f>IF(COUNTIF(Дела!$A:$A,ROW()-1)&gt;0,VLOOKUP(ROW()-1,Дела!$A:$N,14,0),"")</f>
        <v/>
      </c>
      <c r="H526" s="11" t="str">
        <f>IF(COUNTIF(Дела!$A:$A,ROW()-1)&gt;0,VLOOKUP(ROW()-1,Дела!$A:$K,11,0),"")</f>
        <v/>
      </c>
    </row>
    <row r="527" spans="1:8" x14ac:dyDescent="0.25">
      <c r="A527" s="11" t="str">
        <f>IF(COUNTIF(Дела!$A:$A,ROW()-1)&gt;0,VLOOKUP(ROW()-1,Дела!$A:$C,3,0),"")</f>
        <v/>
      </c>
      <c r="B527" s="11" t="str">
        <f>IF(COUNTIF(Дела!$A:$A,ROW()-1)&gt;0,VLOOKUP(ROW()-1,Дела!$A:$F,6,0),"")</f>
        <v/>
      </c>
      <c r="C527" s="11" t="str">
        <f>IF(COUNTIF(Дела!$A:$A,ROW()-1)&gt;0,VLOOKUP(ROW()-1,Дела!$A:$G,7,0),"")</f>
        <v/>
      </c>
      <c r="D527" s="11" t="str">
        <f>IF(COUNTIF(Дела!$A:$A,ROW()-1)&gt;0,VLOOKUP(ROW()-1,Дела!$A:$I,9,0),"")</f>
        <v/>
      </c>
      <c r="E527" s="11" t="str">
        <f t="shared" si="8"/>
        <v/>
      </c>
      <c r="F527" s="12" t="str">
        <f>IF(COUNTIF(Дела!$A:$A,ROW()-1)&gt;0,VLOOKUP(ROW()-1,Дела!$A:$M,13,0),"")</f>
        <v/>
      </c>
      <c r="G527" s="13" t="str">
        <f>IF(COUNTIF(Дела!$A:$A,ROW()-1)&gt;0,VLOOKUP(ROW()-1,Дела!$A:$N,14,0),"")</f>
        <v/>
      </c>
      <c r="H527" s="11" t="str">
        <f>IF(COUNTIF(Дела!$A:$A,ROW()-1)&gt;0,VLOOKUP(ROW()-1,Дела!$A:$K,11,0),"")</f>
        <v/>
      </c>
    </row>
    <row r="528" spans="1:8" x14ac:dyDescent="0.25">
      <c r="A528" s="11" t="str">
        <f>IF(COUNTIF(Дела!$A:$A,ROW()-1)&gt;0,VLOOKUP(ROW()-1,Дела!$A:$C,3,0),"")</f>
        <v/>
      </c>
      <c r="B528" s="11" t="str">
        <f>IF(COUNTIF(Дела!$A:$A,ROW()-1)&gt;0,VLOOKUP(ROW()-1,Дела!$A:$F,6,0),"")</f>
        <v/>
      </c>
      <c r="C528" s="11" t="str">
        <f>IF(COUNTIF(Дела!$A:$A,ROW()-1)&gt;0,VLOOKUP(ROW()-1,Дела!$A:$G,7,0),"")</f>
        <v/>
      </c>
      <c r="D528" s="11" t="str">
        <f>IF(COUNTIF(Дела!$A:$A,ROW()-1)&gt;0,VLOOKUP(ROW()-1,Дела!$A:$I,9,0),"")</f>
        <v/>
      </c>
      <c r="E528" s="11" t="str">
        <f t="shared" si="8"/>
        <v/>
      </c>
      <c r="F528" s="12" t="str">
        <f>IF(COUNTIF(Дела!$A:$A,ROW()-1)&gt;0,VLOOKUP(ROW()-1,Дела!$A:$M,13,0),"")</f>
        <v/>
      </c>
      <c r="G528" s="13" t="str">
        <f>IF(COUNTIF(Дела!$A:$A,ROW()-1)&gt;0,VLOOKUP(ROW()-1,Дела!$A:$N,14,0),"")</f>
        <v/>
      </c>
      <c r="H528" s="11" t="str">
        <f>IF(COUNTIF(Дела!$A:$A,ROW()-1)&gt;0,VLOOKUP(ROW()-1,Дела!$A:$K,11,0),"")</f>
        <v/>
      </c>
    </row>
    <row r="529" spans="1:8" x14ac:dyDescent="0.25">
      <c r="A529" s="11" t="str">
        <f>IF(COUNTIF(Дела!$A:$A,ROW()-1)&gt;0,VLOOKUP(ROW()-1,Дела!$A:$C,3,0),"")</f>
        <v/>
      </c>
      <c r="B529" s="11" t="str">
        <f>IF(COUNTIF(Дела!$A:$A,ROW()-1)&gt;0,VLOOKUP(ROW()-1,Дела!$A:$F,6,0),"")</f>
        <v/>
      </c>
      <c r="C529" s="11" t="str">
        <f>IF(COUNTIF(Дела!$A:$A,ROW()-1)&gt;0,VLOOKUP(ROW()-1,Дела!$A:$G,7,0),"")</f>
        <v/>
      </c>
      <c r="D529" s="11" t="str">
        <f>IF(COUNTIF(Дела!$A:$A,ROW()-1)&gt;0,VLOOKUP(ROW()-1,Дела!$A:$I,9,0),"")</f>
        <v/>
      </c>
      <c r="E529" s="11" t="str">
        <f t="shared" si="8"/>
        <v/>
      </c>
      <c r="F529" s="12" t="str">
        <f>IF(COUNTIF(Дела!$A:$A,ROW()-1)&gt;0,VLOOKUP(ROW()-1,Дела!$A:$M,13,0),"")</f>
        <v/>
      </c>
      <c r="G529" s="13" t="str">
        <f>IF(COUNTIF(Дела!$A:$A,ROW()-1)&gt;0,VLOOKUP(ROW()-1,Дела!$A:$N,14,0),"")</f>
        <v/>
      </c>
      <c r="H529" s="11" t="str">
        <f>IF(COUNTIF(Дела!$A:$A,ROW()-1)&gt;0,VLOOKUP(ROW()-1,Дела!$A:$K,11,0),"")</f>
        <v/>
      </c>
    </row>
    <row r="530" spans="1:8" x14ac:dyDescent="0.25">
      <c r="A530" s="11" t="str">
        <f>IF(COUNTIF(Дела!$A:$A,ROW()-1)&gt;0,VLOOKUP(ROW()-1,Дела!$A:$C,3,0),"")</f>
        <v/>
      </c>
      <c r="B530" s="11" t="str">
        <f>IF(COUNTIF(Дела!$A:$A,ROW()-1)&gt;0,VLOOKUP(ROW()-1,Дела!$A:$F,6,0),"")</f>
        <v/>
      </c>
      <c r="C530" s="11" t="str">
        <f>IF(COUNTIF(Дела!$A:$A,ROW()-1)&gt;0,VLOOKUP(ROW()-1,Дела!$A:$G,7,0),"")</f>
        <v/>
      </c>
      <c r="D530" s="11" t="str">
        <f>IF(COUNTIF(Дела!$A:$A,ROW()-1)&gt;0,VLOOKUP(ROW()-1,Дела!$A:$I,9,0),"")</f>
        <v/>
      </c>
      <c r="E530" s="11" t="str">
        <f t="shared" si="8"/>
        <v/>
      </c>
      <c r="F530" s="12" t="str">
        <f>IF(COUNTIF(Дела!$A:$A,ROW()-1)&gt;0,VLOOKUP(ROW()-1,Дела!$A:$M,13,0),"")</f>
        <v/>
      </c>
      <c r="G530" s="13" t="str">
        <f>IF(COUNTIF(Дела!$A:$A,ROW()-1)&gt;0,VLOOKUP(ROW()-1,Дела!$A:$N,14,0),"")</f>
        <v/>
      </c>
      <c r="H530" s="11" t="str">
        <f>IF(COUNTIF(Дела!$A:$A,ROW()-1)&gt;0,VLOOKUP(ROW()-1,Дела!$A:$K,11,0),"")</f>
        <v/>
      </c>
    </row>
    <row r="531" spans="1:8" x14ac:dyDescent="0.25">
      <c r="A531" s="11" t="str">
        <f>IF(COUNTIF(Дела!$A:$A,ROW()-1)&gt;0,VLOOKUP(ROW()-1,Дела!$A:$C,3,0),"")</f>
        <v/>
      </c>
      <c r="B531" s="11" t="str">
        <f>IF(COUNTIF(Дела!$A:$A,ROW()-1)&gt;0,VLOOKUP(ROW()-1,Дела!$A:$F,6,0),"")</f>
        <v/>
      </c>
      <c r="C531" s="11" t="str">
        <f>IF(COUNTIF(Дела!$A:$A,ROW()-1)&gt;0,VLOOKUP(ROW()-1,Дела!$A:$G,7,0),"")</f>
        <v/>
      </c>
      <c r="D531" s="11" t="str">
        <f>IF(COUNTIF(Дела!$A:$A,ROW()-1)&gt;0,VLOOKUP(ROW()-1,Дела!$A:$I,9,0),"")</f>
        <v/>
      </c>
      <c r="E531" s="11" t="str">
        <f t="shared" si="8"/>
        <v/>
      </c>
      <c r="F531" s="12" t="str">
        <f>IF(COUNTIF(Дела!$A:$A,ROW()-1)&gt;0,VLOOKUP(ROW()-1,Дела!$A:$M,13,0),"")</f>
        <v/>
      </c>
      <c r="G531" s="13" t="str">
        <f>IF(COUNTIF(Дела!$A:$A,ROW()-1)&gt;0,VLOOKUP(ROW()-1,Дела!$A:$N,14,0),"")</f>
        <v/>
      </c>
      <c r="H531" s="11" t="str">
        <f>IF(COUNTIF(Дела!$A:$A,ROW()-1)&gt;0,VLOOKUP(ROW()-1,Дела!$A:$K,11,0),"")</f>
        <v/>
      </c>
    </row>
    <row r="532" spans="1:8" x14ac:dyDescent="0.25">
      <c r="A532" s="11" t="str">
        <f>IF(COUNTIF(Дела!$A:$A,ROW()-1)&gt;0,VLOOKUP(ROW()-1,Дела!$A:$C,3,0),"")</f>
        <v/>
      </c>
      <c r="B532" s="11" t="str">
        <f>IF(COUNTIF(Дела!$A:$A,ROW()-1)&gt;0,VLOOKUP(ROW()-1,Дела!$A:$F,6,0),"")</f>
        <v/>
      </c>
      <c r="C532" s="11" t="str">
        <f>IF(COUNTIF(Дела!$A:$A,ROW()-1)&gt;0,VLOOKUP(ROW()-1,Дела!$A:$G,7,0),"")</f>
        <v/>
      </c>
      <c r="D532" s="11" t="str">
        <f>IF(COUNTIF(Дела!$A:$A,ROW()-1)&gt;0,VLOOKUP(ROW()-1,Дела!$A:$I,9,0),"")</f>
        <v/>
      </c>
      <c r="E532" s="11" t="str">
        <f t="shared" si="8"/>
        <v/>
      </c>
      <c r="F532" s="12" t="str">
        <f>IF(COUNTIF(Дела!$A:$A,ROW()-1)&gt;0,VLOOKUP(ROW()-1,Дела!$A:$M,13,0),"")</f>
        <v/>
      </c>
      <c r="G532" s="13" t="str">
        <f>IF(COUNTIF(Дела!$A:$A,ROW()-1)&gt;0,VLOOKUP(ROW()-1,Дела!$A:$N,14,0),"")</f>
        <v/>
      </c>
      <c r="H532" s="11" t="str">
        <f>IF(COUNTIF(Дела!$A:$A,ROW()-1)&gt;0,VLOOKUP(ROW()-1,Дела!$A:$K,11,0),"")</f>
        <v/>
      </c>
    </row>
    <row r="533" spans="1:8" x14ac:dyDescent="0.25">
      <c r="A533" s="11" t="str">
        <f>IF(COUNTIF(Дела!$A:$A,ROW()-1)&gt;0,VLOOKUP(ROW()-1,Дела!$A:$C,3,0),"")</f>
        <v/>
      </c>
      <c r="B533" s="11" t="str">
        <f>IF(COUNTIF(Дела!$A:$A,ROW()-1)&gt;0,VLOOKUP(ROW()-1,Дела!$A:$F,6,0),"")</f>
        <v/>
      </c>
      <c r="C533" s="11" t="str">
        <f>IF(COUNTIF(Дела!$A:$A,ROW()-1)&gt;0,VLOOKUP(ROW()-1,Дела!$A:$G,7,0),"")</f>
        <v/>
      </c>
      <c r="D533" s="11" t="str">
        <f>IF(COUNTIF(Дела!$A:$A,ROW()-1)&gt;0,VLOOKUP(ROW()-1,Дела!$A:$I,9,0),"")</f>
        <v/>
      </c>
      <c r="E533" s="11" t="str">
        <f t="shared" si="8"/>
        <v/>
      </c>
      <c r="F533" s="12" t="str">
        <f>IF(COUNTIF(Дела!$A:$A,ROW()-1)&gt;0,VLOOKUP(ROW()-1,Дела!$A:$M,13,0),"")</f>
        <v/>
      </c>
      <c r="G533" s="13" t="str">
        <f>IF(COUNTIF(Дела!$A:$A,ROW()-1)&gt;0,VLOOKUP(ROW()-1,Дела!$A:$N,14,0),"")</f>
        <v/>
      </c>
      <c r="H533" s="11" t="str">
        <f>IF(COUNTIF(Дела!$A:$A,ROW()-1)&gt;0,VLOOKUP(ROW()-1,Дела!$A:$K,11,0),"")</f>
        <v/>
      </c>
    </row>
    <row r="534" spans="1:8" x14ac:dyDescent="0.25">
      <c r="A534" s="11" t="str">
        <f>IF(COUNTIF(Дела!$A:$A,ROW()-1)&gt;0,VLOOKUP(ROW()-1,Дела!$A:$C,3,0),"")</f>
        <v/>
      </c>
      <c r="B534" s="11" t="str">
        <f>IF(COUNTIF(Дела!$A:$A,ROW()-1)&gt;0,VLOOKUP(ROW()-1,Дела!$A:$F,6,0),"")</f>
        <v/>
      </c>
      <c r="C534" s="11" t="str">
        <f>IF(COUNTIF(Дела!$A:$A,ROW()-1)&gt;0,VLOOKUP(ROW()-1,Дела!$A:$G,7,0),"")</f>
        <v/>
      </c>
      <c r="D534" s="11" t="str">
        <f>IF(COUNTIF(Дела!$A:$A,ROW()-1)&gt;0,VLOOKUP(ROW()-1,Дела!$A:$I,9,0),"")</f>
        <v/>
      </c>
      <c r="E534" s="11" t="str">
        <f t="shared" si="8"/>
        <v/>
      </c>
      <c r="F534" s="12" t="str">
        <f>IF(COUNTIF(Дела!$A:$A,ROW()-1)&gt;0,VLOOKUP(ROW()-1,Дела!$A:$M,13,0),"")</f>
        <v/>
      </c>
      <c r="G534" s="13" t="str">
        <f>IF(COUNTIF(Дела!$A:$A,ROW()-1)&gt;0,VLOOKUP(ROW()-1,Дела!$A:$N,14,0),"")</f>
        <v/>
      </c>
      <c r="H534" s="11" t="str">
        <f>IF(COUNTIF(Дела!$A:$A,ROW()-1)&gt;0,VLOOKUP(ROW()-1,Дела!$A:$K,11,0),"")</f>
        <v/>
      </c>
    </row>
    <row r="535" spans="1:8" x14ac:dyDescent="0.25">
      <c r="A535" s="11" t="str">
        <f>IF(COUNTIF(Дела!$A:$A,ROW()-1)&gt;0,VLOOKUP(ROW()-1,Дела!$A:$C,3,0),"")</f>
        <v/>
      </c>
      <c r="B535" s="11" t="str">
        <f>IF(COUNTIF(Дела!$A:$A,ROW()-1)&gt;0,VLOOKUP(ROW()-1,Дела!$A:$F,6,0),"")</f>
        <v/>
      </c>
      <c r="C535" s="11" t="str">
        <f>IF(COUNTIF(Дела!$A:$A,ROW()-1)&gt;0,VLOOKUP(ROW()-1,Дела!$A:$G,7,0),"")</f>
        <v/>
      </c>
      <c r="D535" s="11" t="str">
        <f>IF(COUNTIF(Дела!$A:$A,ROW()-1)&gt;0,VLOOKUP(ROW()-1,Дела!$A:$I,9,0),"")</f>
        <v/>
      </c>
      <c r="E535" s="11" t="str">
        <f t="shared" si="8"/>
        <v/>
      </c>
      <c r="F535" s="12" t="str">
        <f>IF(COUNTIF(Дела!$A:$A,ROW()-1)&gt;0,VLOOKUP(ROW()-1,Дела!$A:$M,13,0),"")</f>
        <v/>
      </c>
      <c r="G535" s="13" t="str">
        <f>IF(COUNTIF(Дела!$A:$A,ROW()-1)&gt;0,VLOOKUP(ROW()-1,Дела!$A:$N,14,0),"")</f>
        <v/>
      </c>
      <c r="H535" s="11" t="str">
        <f>IF(COUNTIF(Дела!$A:$A,ROW()-1)&gt;0,VLOOKUP(ROW()-1,Дела!$A:$K,11,0),"")</f>
        <v/>
      </c>
    </row>
    <row r="536" spans="1:8" x14ac:dyDescent="0.25">
      <c r="A536" s="11" t="str">
        <f>IF(COUNTIF(Дела!$A:$A,ROW()-1)&gt;0,VLOOKUP(ROW()-1,Дела!$A:$C,3,0),"")</f>
        <v/>
      </c>
      <c r="B536" s="11" t="str">
        <f>IF(COUNTIF(Дела!$A:$A,ROW()-1)&gt;0,VLOOKUP(ROW()-1,Дела!$A:$F,6,0),"")</f>
        <v/>
      </c>
      <c r="C536" s="11" t="str">
        <f>IF(COUNTIF(Дела!$A:$A,ROW()-1)&gt;0,VLOOKUP(ROW()-1,Дела!$A:$G,7,0),"")</f>
        <v/>
      </c>
      <c r="D536" s="11" t="str">
        <f>IF(COUNTIF(Дела!$A:$A,ROW()-1)&gt;0,VLOOKUP(ROW()-1,Дела!$A:$I,9,0),"")</f>
        <v/>
      </c>
      <c r="E536" s="11" t="str">
        <f t="shared" si="8"/>
        <v/>
      </c>
      <c r="F536" s="12" t="str">
        <f>IF(COUNTIF(Дела!$A:$A,ROW()-1)&gt;0,VLOOKUP(ROW()-1,Дела!$A:$M,13,0),"")</f>
        <v/>
      </c>
      <c r="G536" s="13" t="str">
        <f>IF(COUNTIF(Дела!$A:$A,ROW()-1)&gt;0,VLOOKUP(ROW()-1,Дела!$A:$N,14,0),"")</f>
        <v/>
      </c>
      <c r="H536" s="11" t="str">
        <f>IF(COUNTIF(Дела!$A:$A,ROW()-1)&gt;0,VLOOKUP(ROW()-1,Дела!$A:$K,11,0),"")</f>
        <v/>
      </c>
    </row>
    <row r="537" spans="1:8" x14ac:dyDescent="0.25">
      <c r="A537" s="11" t="str">
        <f>IF(COUNTIF(Дела!$A:$A,ROW()-1)&gt;0,VLOOKUP(ROW()-1,Дела!$A:$C,3,0),"")</f>
        <v/>
      </c>
      <c r="B537" s="11" t="str">
        <f>IF(COUNTIF(Дела!$A:$A,ROW()-1)&gt;0,VLOOKUP(ROW()-1,Дела!$A:$F,6,0),"")</f>
        <v/>
      </c>
      <c r="C537" s="11" t="str">
        <f>IF(COUNTIF(Дела!$A:$A,ROW()-1)&gt;0,VLOOKUP(ROW()-1,Дела!$A:$G,7,0),"")</f>
        <v/>
      </c>
      <c r="D537" s="11" t="str">
        <f>IF(COUNTIF(Дела!$A:$A,ROW()-1)&gt;0,VLOOKUP(ROW()-1,Дела!$A:$I,9,0),"")</f>
        <v/>
      </c>
      <c r="E537" s="11" t="str">
        <f t="shared" si="8"/>
        <v/>
      </c>
      <c r="F537" s="12" t="str">
        <f>IF(COUNTIF(Дела!$A:$A,ROW()-1)&gt;0,VLOOKUP(ROW()-1,Дела!$A:$M,13,0),"")</f>
        <v/>
      </c>
      <c r="G537" s="13" t="str">
        <f>IF(COUNTIF(Дела!$A:$A,ROW()-1)&gt;0,VLOOKUP(ROW()-1,Дела!$A:$N,14,0),"")</f>
        <v/>
      </c>
      <c r="H537" s="11" t="str">
        <f>IF(COUNTIF(Дела!$A:$A,ROW()-1)&gt;0,VLOOKUP(ROW()-1,Дела!$A:$K,11,0),"")</f>
        <v/>
      </c>
    </row>
    <row r="538" spans="1:8" x14ac:dyDescent="0.25">
      <c r="A538" s="11" t="str">
        <f>IF(COUNTIF(Дела!$A:$A,ROW()-1)&gt;0,VLOOKUP(ROW()-1,Дела!$A:$C,3,0),"")</f>
        <v/>
      </c>
      <c r="B538" s="11" t="str">
        <f>IF(COUNTIF(Дела!$A:$A,ROW()-1)&gt;0,VLOOKUP(ROW()-1,Дела!$A:$F,6,0),"")</f>
        <v/>
      </c>
      <c r="C538" s="11" t="str">
        <f>IF(COUNTIF(Дела!$A:$A,ROW()-1)&gt;0,VLOOKUP(ROW()-1,Дела!$A:$G,7,0),"")</f>
        <v/>
      </c>
      <c r="D538" s="11" t="str">
        <f>IF(COUNTIF(Дела!$A:$A,ROW()-1)&gt;0,VLOOKUP(ROW()-1,Дела!$A:$I,9,0),"")</f>
        <v/>
      </c>
      <c r="E538" s="11" t="str">
        <f t="shared" si="8"/>
        <v/>
      </c>
      <c r="F538" s="12" t="str">
        <f>IF(COUNTIF(Дела!$A:$A,ROW()-1)&gt;0,VLOOKUP(ROW()-1,Дела!$A:$M,13,0),"")</f>
        <v/>
      </c>
      <c r="G538" s="13" t="str">
        <f>IF(COUNTIF(Дела!$A:$A,ROW()-1)&gt;0,VLOOKUP(ROW()-1,Дела!$A:$N,14,0),"")</f>
        <v/>
      </c>
      <c r="H538" s="11" t="str">
        <f>IF(COUNTIF(Дела!$A:$A,ROW()-1)&gt;0,VLOOKUP(ROW()-1,Дела!$A:$K,11,0),"")</f>
        <v/>
      </c>
    </row>
    <row r="539" spans="1:8" x14ac:dyDescent="0.25">
      <c r="A539" s="11" t="str">
        <f>IF(COUNTIF(Дела!$A:$A,ROW()-1)&gt;0,VLOOKUP(ROW()-1,Дела!$A:$C,3,0),"")</f>
        <v/>
      </c>
      <c r="B539" s="11" t="str">
        <f>IF(COUNTIF(Дела!$A:$A,ROW()-1)&gt;0,VLOOKUP(ROW()-1,Дела!$A:$F,6,0),"")</f>
        <v/>
      </c>
      <c r="C539" s="11" t="str">
        <f>IF(COUNTIF(Дела!$A:$A,ROW()-1)&gt;0,VLOOKUP(ROW()-1,Дела!$A:$G,7,0),"")</f>
        <v/>
      </c>
      <c r="D539" s="11" t="str">
        <f>IF(COUNTIF(Дела!$A:$A,ROW()-1)&gt;0,VLOOKUP(ROW()-1,Дела!$A:$I,9,0),"")</f>
        <v/>
      </c>
      <c r="E539" s="11" t="str">
        <f t="shared" si="8"/>
        <v/>
      </c>
      <c r="F539" s="12" t="str">
        <f>IF(COUNTIF(Дела!$A:$A,ROW()-1)&gt;0,VLOOKUP(ROW()-1,Дела!$A:$M,13,0),"")</f>
        <v/>
      </c>
      <c r="G539" s="13" t="str">
        <f>IF(COUNTIF(Дела!$A:$A,ROW()-1)&gt;0,VLOOKUP(ROW()-1,Дела!$A:$N,14,0),"")</f>
        <v/>
      </c>
      <c r="H539" s="11" t="str">
        <f>IF(COUNTIF(Дела!$A:$A,ROW()-1)&gt;0,VLOOKUP(ROW()-1,Дела!$A:$K,11,0),"")</f>
        <v/>
      </c>
    </row>
    <row r="540" spans="1:8" x14ac:dyDescent="0.25">
      <c r="A540" s="11" t="str">
        <f>IF(COUNTIF(Дела!$A:$A,ROW()-1)&gt;0,VLOOKUP(ROW()-1,Дела!$A:$C,3,0),"")</f>
        <v/>
      </c>
      <c r="B540" s="11" t="str">
        <f>IF(COUNTIF(Дела!$A:$A,ROW()-1)&gt;0,VLOOKUP(ROW()-1,Дела!$A:$F,6,0),"")</f>
        <v/>
      </c>
      <c r="C540" s="11" t="str">
        <f>IF(COUNTIF(Дела!$A:$A,ROW()-1)&gt;0,VLOOKUP(ROW()-1,Дела!$A:$G,7,0),"")</f>
        <v/>
      </c>
      <c r="D540" s="11" t="str">
        <f>IF(COUNTIF(Дела!$A:$A,ROW()-1)&gt;0,VLOOKUP(ROW()-1,Дела!$A:$I,9,0),"")</f>
        <v/>
      </c>
      <c r="E540" s="11" t="str">
        <f t="shared" si="8"/>
        <v/>
      </c>
      <c r="F540" s="12" t="str">
        <f>IF(COUNTIF(Дела!$A:$A,ROW()-1)&gt;0,VLOOKUP(ROW()-1,Дела!$A:$M,13,0),"")</f>
        <v/>
      </c>
      <c r="G540" s="13" t="str">
        <f>IF(COUNTIF(Дела!$A:$A,ROW()-1)&gt;0,VLOOKUP(ROW()-1,Дела!$A:$N,14,0),"")</f>
        <v/>
      </c>
      <c r="H540" s="11" t="str">
        <f>IF(COUNTIF(Дела!$A:$A,ROW()-1)&gt;0,VLOOKUP(ROW()-1,Дела!$A:$K,11,0),"")</f>
        <v/>
      </c>
    </row>
    <row r="541" spans="1:8" x14ac:dyDescent="0.25">
      <c r="A541" s="11" t="str">
        <f>IF(COUNTIF(Дела!$A:$A,ROW()-1)&gt;0,VLOOKUP(ROW()-1,Дела!$A:$C,3,0),"")</f>
        <v/>
      </c>
      <c r="B541" s="11" t="str">
        <f>IF(COUNTIF(Дела!$A:$A,ROW()-1)&gt;0,VLOOKUP(ROW()-1,Дела!$A:$F,6,0),"")</f>
        <v/>
      </c>
      <c r="C541" s="11" t="str">
        <f>IF(COUNTIF(Дела!$A:$A,ROW()-1)&gt;0,VLOOKUP(ROW()-1,Дела!$A:$G,7,0),"")</f>
        <v/>
      </c>
      <c r="D541" s="11" t="str">
        <f>IF(COUNTIF(Дела!$A:$A,ROW()-1)&gt;0,VLOOKUP(ROW()-1,Дела!$A:$I,9,0),"")</f>
        <v/>
      </c>
      <c r="E541" s="11" t="str">
        <f t="shared" si="8"/>
        <v/>
      </c>
      <c r="F541" s="12" t="str">
        <f>IF(COUNTIF(Дела!$A:$A,ROW()-1)&gt;0,VLOOKUP(ROW()-1,Дела!$A:$M,13,0),"")</f>
        <v/>
      </c>
      <c r="G541" s="13" t="str">
        <f>IF(COUNTIF(Дела!$A:$A,ROW()-1)&gt;0,VLOOKUP(ROW()-1,Дела!$A:$N,14,0),"")</f>
        <v/>
      </c>
      <c r="H541" s="11" t="str">
        <f>IF(COUNTIF(Дела!$A:$A,ROW()-1)&gt;0,VLOOKUP(ROW()-1,Дела!$A:$K,11,0),"")</f>
        <v/>
      </c>
    </row>
    <row r="542" spans="1:8" x14ac:dyDescent="0.25">
      <c r="A542" s="11" t="str">
        <f>IF(COUNTIF(Дела!$A:$A,ROW()-1)&gt;0,VLOOKUP(ROW()-1,Дела!$A:$C,3,0),"")</f>
        <v/>
      </c>
      <c r="B542" s="11" t="str">
        <f>IF(COUNTIF(Дела!$A:$A,ROW()-1)&gt;0,VLOOKUP(ROW()-1,Дела!$A:$F,6,0),"")</f>
        <v/>
      </c>
      <c r="C542" s="11" t="str">
        <f>IF(COUNTIF(Дела!$A:$A,ROW()-1)&gt;0,VLOOKUP(ROW()-1,Дела!$A:$G,7,0),"")</f>
        <v/>
      </c>
      <c r="D542" s="11" t="str">
        <f>IF(COUNTIF(Дела!$A:$A,ROW()-1)&gt;0,VLOOKUP(ROW()-1,Дела!$A:$I,9,0),"")</f>
        <v/>
      </c>
      <c r="E542" s="11" t="str">
        <f t="shared" si="8"/>
        <v/>
      </c>
      <c r="F542" s="12" t="str">
        <f>IF(COUNTIF(Дела!$A:$A,ROW()-1)&gt;0,VLOOKUP(ROW()-1,Дела!$A:$M,13,0),"")</f>
        <v/>
      </c>
      <c r="G542" s="13" t="str">
        <f>IF(COUNTIF(Дела!$A:$A,ROW()-1)&gt;0,VLOOKUP(ROW()-1,Дела!$A:$N,14,0),"")</f>
        <v/>
      </c>
      <c r="H542" s="11" t="str">
        <f>IF(COUNTIF(Дела!$A:$A,ROW()-1)&gt;0,VLOOKUP(ROW()-1,Дела!$A:$K,11,0),"")</f>
        <v/>
      </c>
    </row>
    <row r="543" spans="1:8" x14ac:dyDescent="0.25">
      <c r="A543" s="11" t="str">
        <f>IF(COUNTIF(Дела!$A:$A,ROW()-1)&gt;0,VLOOKUP(ROW()-1,Дела!$A:$C,3,0),"")</f>
        <v/>
      </c>
      <c r="B543" s="11" t="str">
        <f>IF(COUNTIF(Дела!$A:$A,ROW()-1)&gt;0,VLOOKUP(ROW()-1,Дела!$A:$F,6,0),"")</f>
        <v/>
      </c>
      <c r="C543" s="11" t="str">
        <f>IF(COUNTIF(Дела!$A:$A,ROW()-1)&gt;0,VLOOKUP(ROW()-1,Дела!$A:$G,7,0),"")</f>
        <v/>
      </c>
      <c r="D543" s="11" t="str">
        <f>IF(COUNTIF(Дела!$A:$A,ROW()-1)&gt;0,VLOOKUP(ROW()-1,Дела!$A:$I,9,0),"")</f>
        <v/>
      </c>
      <c r="E543" s="11" t="str">
        <f t="shared" si="8"/>
        <v/>
      </c>
      <c r="F543" s="12" t="str">
        <f>IF(COUNTIF(Дела!$A:$A,ROW()-1)&gt;0,VLOOKUP(ROW()-1,Дела!$A:$M,13,0),"")</f>
        <v/>
      </c>
      <c r="G543" s="13" t="str">
        <f>IF(COUNTIF(Дела!$A:$A,ROW()-1)&gt;0,VLOOKUP(ROW()-1,Дела!$A:$N,14,0),"")</f>
        <v/>
      </c>
      <c r="H543" s="11" t="str">
        <f>IF(COUNTIF(Дела!$A:$A,ROW()-1)&gt;0,VLOOKUP(ROW()-1,Дела!$A:$K,11,0),"")</f>
        <v/>
      </c>
    </row>
    <row r="544" spans="1:8" x14ac:dyDescent="0.25">
      <c r="A544" s="11" t="str">
        <f>IF(COUNTIF(Дела!$A:$A,ROW()-1)&gt;0,VLOOKUP(ROW()-1,Дела!$A:$C,3,0),"")</f>
        <v/>
      </c>
      <c r="B544" s="11" t="str">
        <f>IF(COUNTIF(Дела!$A:$A,ROW()-1)&gt;0,VLOOKUP(ROW()-1,Дела!$A:$F,6,0),"")</f>
        <v/>
      </c>
      <c r="C544" s="11" t="str">
        <f>IF(COUNTIF(Дела!$A:$A,ROW()-1)&gt;0,VLOOKUP(ROW()-1,Дела!$A:$G,7,0),"")</f>
        <v/>
      </c>
      <c r="D544" s="11" t="str">
        <f>IF(COUNTIF(Дела!$A:$A,ROW()-1)&gt;0,VLOOKUP(ROW()-1,Дела!$A:$I,9,0),"")</f>
        <v/>
      </c>
      <c r="E544" s="11" t="str">
        <f t="shared" si="8"/>
        <v/>
      </c>
      <c r="F544" s="12" t="str">
        <f>IF(COUNTIF(Дела!$A:$A,ROW()-1)&gt;0,VLOOKUP(ROW()-1,Дела!$A:$M,13,0),"")</f>
        <v/>
      </c>
      <c r="G544" s="13" t="str">
        <f>IF(COUNTIF(Дела!$A:$A,ROW()-1)&gt;0,VLOOKUP(ROW()-1,Дела!$A:$N,14,0),"")</f>
        <v/>
      </c>
      <c r="H544" s="11" t="str">
        <f>IF(COUNTIF(Дела!$A:$A,ROW()-1)&gt;0,VLOOKUP(ROW()-1,Дела!$A:$K,11,0),"")</f>
        <v/>
      </c>
    </row>
    <row r="545" spans="1:8" x14ac:dyDescent="0.25">
      <c r="A545" s="11" t="str">
        <f>IF(COUNTIF(Дела!$A:$A,ROW()-1)&gt;0,VLOOKUP(ROW()-1,Дела!$A:$C,3,0),"")</f>
        <v/>
      </c>
      <c r="B545" s="11" t="str">
        <f>IF(COUNTIF(Дела!$A:$A,ROW()-1)&gt;0,VLOOKUP(ROW()-1,Дела!$A:$F,6,0),"")</f>
        <v/>
      </c>
      <c r="C545" s="11" t="str">
        <f>IF(COUNTIF(Дела!$A:$A,ROW()-1)&gt;0,VLOOKUP(ROW()-1,Дела!$A:$G,7,0),"")</f>
        <v/>
      </c>
      <c r="D545" s="11" t="str">
        <f>IF(COUNTIF(Дела!$A:$A,ROW()-1)&gt;0,VLOOKUP(ROW()-1,Дела!$A:$I,9,0),"")</f>
        <v/>
      </c>
      <c r="E545" s="11" t="str">
        <f t="shared" si="8"/>
        <v/>
      </c>
      <c r="F545" s="12" t="str">
        <f>IF(COUNTIF(Дела!$A:$A,ROW()-1)&gt;0,VLOOKUP(ROW()-1,Дела!$A:$M,13,0),"")</f>
        <v/>
      </c>
      <c r="G545" s="13" t="str">
        <f>IF(COUNTIF(Дела!$A:$A,ROW()-1)&gt;0,VLOOKUP(ROW()-1,Дела!$A:$N,14,0),"")</f>
        <v/>
      </c>
      <c r="H545" s="11" t="str">
        <f>IF(COUNTIF(Дела!$A:$A,ROW()-1)&gt;0,VLOOKUP(ROW()-1,Дела!$A:$K,11,0),"")</f>
        <v/>
      </c>
    </row>
    <row r="546" spans="1:8" x14ac:dyDescent="0.25">
      <c r="A546" s="11" t="str">
        <f>IF(COUNTIF(Дела!$A:$A,ROW()-1)&gt;0,VLOOKUP(ROW()-1,Дела!$A:$C,3,0),"")</f>
        <v/>
      </c>
      <c r="B546" s="11" t="str">
        <f>IF(COUNTIF(Дела!$A:$A,ROW()-1)&gt;0,VLOOKUP(ROW()-1,Дела!$A:$F,6,0),"")</f>
        <v/>
      </c>
      <c r="C546" s="11" t="str">
        <f>IF(COUNTIF(Дела!$A:$A,ROW()-1)&gt;0,VLOOKUP(ROW()-1,Дела!$A:$G,7,0),"")</f>
        <v/>
      </c>
      <c r="D546" s="11" t="str">
        <f>IF(COUNTIF(Дела!$A:$A,ROW()-1)&gt;0,VLOOKUP(ROW()-1,Дела!$A:$I,9,0),"")</f>
        <v/>
      </c>
      <c r="E546" s="11" t="str">
        <f t="shared" si="8"/>
        <v/>
      </c>
      <c r="F546" s="12" t="str">
        <f>IF(COUNTIF(Дела!$A:$A,ROW()-1)&gt;0,VLOOKUP(ROW()-1,Дела!$A:$M,13,0),"")</f>
        <v/>
      </c>
      <c r="G546" s="13" t="str">
        <f>IF(COUNTIF(Дела!$A:$A,ROW()-1)&gt;0,VLOOKUP(ROW()-1,Дела!$A:$N,14,0),"")</f>
        <v/>
      </c>
      <c r="H546" s="11" t="str">
        <f>IF(COUNTIF(Дела!$A:$A,ROW()-1)&gt;0,VLOOKUP(ROW()-1,Дела!$A:$K,11,0),"")</f>
        <v/>
      </c>
    </row>
    <row r="547" spans="1:8" x14ac:dyDescent="0.25">
      <c r="A547" s="11" t="str">
        <f>IF(COUNTIF(Дела!$A:$A,ROW()-1)&gt;0,VLOOKUP(ROW()-1,Дела!$A:$C,3,0),"")</f>
        <v/>
      </c>
      <c r="B547" s="11" t="str">
        <f>IF(COUNTIF(Дела!$A:$A,ROW()-1)&gt;0,VLOOKUP(ROW()-1,Дела!$A:$F,6,0),"")</f>
        <v/>
      </c>
      <c r="C547" s="11" t="str">
        <f>IF(COUNTIF(Дела!$A:$A,ROW()-1)&gt;0,VLOOKUP(ROW()-1,Дела!$A:$G,7,0),"")</f>
        <v/>
      </c>
      <c r="D547" s="11" t="str">
        <f>IF(COUNTIF(Дела!$A:$A,ROW()-1)&gt;0,VLOOKUP(ROW()-1,Дела!$A:$I,9,0),"")</f>
        <v/>
      </c>
      <c r="E547" s="11" t="str">
        <f t="shared" si="8"/>
        <v/>
      </c>
      <c r="F547" s="12" t="str">
        <f>IF(COUNTIF(Дела!$A:$A,ROW()-1)&gt;0,VLOOKUP(ROW()-1,Дела!$A:$M,13,0),"")</f>
        <v/>
      </c>
      <c r="G547" s="13" t="str">
        <f>IF(COUNTIF(Дела!$A:$A,ROW()-1)&gt;0,VLOOKUP(ROW()-1,Дела!$A:$N,14,0),"")</f>
        <v/>
      </c>
      <c r="H547" s="11" t="str">
        <f>IF(COUNTIF(Дела!$A:$A,ROW()-1)&gt;0,VLOOKUP(ROW()-1,Дела!$A:$K,11,0),"")</f>
        <v/>
      </c>
    </row>
    <row r="548" spans="1:8" x14ac:dyDescent="0.25">
      <c r="A548" s="11" t="str">
        <f>IF(COUNTIF(Дела!$A:$A,ROW()-1)&gt;0,VLOOKUP(ROW()-1,Дела!$A:$C,3,0),"")</f>
        <v/>
      </c>
      <c r="B548" s="11" t="str">
        <f>IF(COUNTIF(Дела!$A:$A,ROW()-1)&gt;0,VLOOKUP(ROW()-1,Дела!$A:$F,6,0),"")</f>
        <v/>
      </c>
      <c r="C548" s="11" t="str">
        <f>IF(COUNTIF(Дела!$A:$A,ROW()-1)&gt;0,VLOOKUP(ROW()-1,Дела!$A:$G,7,0),"")</f>
        <v/>
      </c>
      <c r="D548" s="11" t="str">
        <f>IF(COUNTIF(Дела!$A:$A,ROW()-1)&gt;0,VLOOKUP(ROW()-1,Дела!$A:$I,9,0),"")</f>
        <v/>
      </c>
      <c r="E548" s="11" t="str">
        <f t="shared" si="8"/>
        <v/>
      </c>
      <c r="F548" s="12" t="str">
        <f>IF(COUNTIF(Дела!$A:$A,ROW()-1)&gt;0,VLOOKUP(ROW()-1,Дела!$A:$M,13,0),"")</f>
        <v/>
      </c>
      <c r="G548" s="13" t="str">
        <f>IF(COUNTIF(Дела!$A:$A,ROW()-1)&gt;0,VLOOKUP(ROW()-1,Дела!$A:$N,14,0),"")</f>
        <v/>
      </c>
      <c r="H548" s="11" t="str">
        <f>IF(COUNTIF(Дела!$A:$A,ROW()-1)&gt;0,VLOOKUP(ROW()-1,Дела!$A:$K,11,0),"")</f>
        <v/>
      </c>
    </row>
    <row r="549" spans="1:8" x14ac:dyDescent="0.25">
      <c r="A549" s="11" t="str">
        <f>IF(COUNTIF(Дела!$A:$A,ROW()-1)&gt;0,VLOOKUP(ROW()-1,Дела!$A:$C,3,0),"")</f>
        <v/>
      </c>
      <c r="B549" s="11" t="str">
        <f>IF(COUNTIF(Дела!$A:$A,ROW()-1)&gt;0,VLOOKUP(ROW()-1,Дела!$A:$F,6,0),"")</f>
        <v/>
      </c>
      <c r="C549" s="11" t="str">
        <f>IF(COUNTIF(Дела!$A:$A,ROW()-1)&gt;0,VLOOKUP(ROW()-1,Дела!$A:$G,7,0),"")</f>
        <v/>
      </c>
      <c r="D549" s="11" t="str">
        <f>IF(COUNTIF(Дела!$A:$A,ROW()-1)&gt;0,VLOOKUP(ROW()-1,Дела!$A:$I,9,0),"")</f>
        <v/>
      </c>
      <c r="E549" s="11" t="str">
        <f t="shared" si="8"/>
        <v/>
      </c>
      <c r="F549" s="12" t="str">
        <f>IF(COUNTIF(Дела!$A:$A,ROW()-1)&gt;0,VLOOKUP(ROW()-1,Дела!$A:$M,13,0),"")</f>
        <v/>
      </c>
      <c r="G549" s="13" t="str">
        <f>IF(COUNTIF(Дела!$A:$A,ROW()-1)&gt;0,VLOOKUP(ROW()-1,Дела!$A:$N,14,0),"")</f>
        <v/>
      </c>
      <c r="H549" s="11" t="str">
        <f>IF(COUNTIF(Дела!$A:$A,ROW()-1)&gt;0,VLOOKUP(ROW()-1,Дела!$A:$K,11,0),"")</f>
        <v/>
      </c>
    </row>
    <row r="550" spans="1:8" x14ac:dyDescent="0.25">
      <c r="A550" s="11" t="str">
        <f>IF(COUNTIF(Дела!$A:$A,ROW()-1)&gt;0,VLOOKUP(ROW()-1,Дела!$A:$C,3,0),"")</f>
        <v/>
      </c>
      <c r="B550" s="11" t="str">
        <f>IF(COUNTIF(Дела!$A:$A,ROW()-1)&gt;0,VLOOKUP(ROW()-1,Дела!$A:$F,6,0),"")</f>
        <v/>
      </c>
      <c r="C550" s="11" t="str">
        <f>IF(COUNTIF(Дела!$A:$A,ROW()-1)&gt;0,VLOOKUP(ROW()-1,Дела!$A:$G,7,0),"")</f>
        <v/>
      </c>
      <c r="D550" s="11" t="str">
        <f>IF(COUNTIF(Дела!$A:$A,ROW()-1)&gt;0,VLOOKUP(ROW()-1,Дела!$A:$I,9,0),"")</f>
        <v/>
      </c>
      <c r="E550" s="11" t="str">
        <f t="shared" si="8"/>
        <v/>
      </c>
      <c r="F550" s="12" t="str">
        <f>IF(COUNTIF(Дела!$A:$A,ROW()-1)&gt;0,VLOOKUP(ROW()-1,Дела!$A:$M,13,0),"")</f>
        <v/>
      </c>
      <c r="G550" s="13" t="str">
        <f>IF(COUNTIF(Дела!$A:$A,ROW()-1)&gt;0,VLOOKUP(ROW()-1,Дела!$A:$N,14,0),"")</f>
        <v/>
      </c>
      <c r="H550" s="11" t="str">
        <f>IF(COUNTIF(Дела!$A:$A,ROW()-1)&gt;0,VLOOKUP(ROW()-1,Дела!$A:$K,11,0),"")</f>
        <v/>
      </c>
    </row>
    <row r="551" spans="1:8" x14ac:dyDescent="0.25">
      <c r="A551" s="11" t="str">
        <f>IF(COUNTIF(Дела!$A:$A,ROW()-1)&gt;0,VLOOKUP(ROW()-1,Дела!$A:$C,3,0),"")</f>
        <v/>
      </c>
      <c r="B551" s="11" t="str">
        <f>IF(COUNTIF(Дела!$A:$A,ROW()-1)&gt;0,VLOOKUP(ROW()-1,Дела!$A:$F,6,0),"")</f>
        <v/>
      </c>
      <c r="C551" s="11" t="str">
        <f>IF(COUNTIF(Дела!$A:$A,ROW()-1)&gt;0,VLOOKUP(ROW()-1,Дела!$A:$G,7,0),"")</f>
        <v/>
      </c>
      <c r="D551" s="11" t="str">
        <f>IF(COUNTIF(Дела!$A:$A,ROW()-1)&gt;0,VLOOKUP(ROW()-1,Дела!$A:$I,9,0),"")</f>
        <v/>
      </c>
      <c r="E551" s="11" t="str">
        <f t="shared" si="8"/>
        <v/>
      </c>
      <c r="F551" s="12" t="str">
        <f>IF(COUNTIF(Дела!$A:$A,ROW()-1)&gt;0,VLOOKUP(ROW()-1,Дела!$A:$M,13,0),"")</f>
        <v/>
      </c>
      <c r="G551" s="13" t="str">
        <f>IF(COUNTIF(Дела!$A:$A,ROW()-1)&gt;0,VLOOKUP(ROW()-1,Дела!$A:$N,14,0),"")</f>
        <v/>
      </c>
      <c r="H551" s="11" t="str">
        <f>IF(COUNTIF(Дела!$A:$A,ROW()-1)&gt;0,VLOOKUP(ROW()-1,Дела!$A:$K,11,0),"")</f>
        <v/>
      </c>
    </row>
    <row r="552" spans="1:8" x14ac:dyDescent="0.25">
      <c r="A552" s="11" t="str">
        <f>IF(COUNTIF(Дела!$A:$A,ROW()-1)&gt;0,VLOOKUP(ROW()-1,Дела!$A:$C,3,0),"")</f>
        <v/>
      </c>
      <c r="B552" s="11" t="str">
        <f>IF(COUNTIF(Дела!$A:$A,ROW()-1)&gt;0,VLOOKUP(ROW()-1,Дела!$A:$F,6,0),"")</f>
        <v/>
      </c>
      <c r="C552" s="11" t="str">
        <f>IF(COUNTIF(Дела!$A:$A,ROW()-1)&gt;0,VLOOKUP(ROW()-1,Дела!$A:$G,7,0),"")</f>
        <v/>
      </c>
      <c r="D552" s="11" t="str">
        <f>IF(COUNTIF(Дела!$A:$A,ROW()-1)&gt;0,VLOOKUP(ROW()-1,Дела!$A:$I,9,0),"")</f>
        <v/>
      </c>
      <c r="E552" s="11" t="str">
        <f t="shared" si="8"/>
        <v/>
      </c>
      <c r="F552" s="12" t="str">
        <f>IF(COUNTIF(Дела!$A:$A,ROW()-1)&gt;0,VLOOKUP(ROW()-1,Дела!$A:$M,13,0),"")</f>
        <v/>
      </c>
      <c r="G552" s="13" t="str">
        <f>IF(COUNTIF(Дела!$A:$A,ROW()-1)&gt;0,VLOOKUP(ROW()-1,Дела!$A:$N,14,0),"")</f>
        <v/>
      </c>
      <c r="H552" s="11" t="str">
        <f>IF(COUNTIF(Дела!$A:$A,ROW()-1)&gt;0,VLOOKUP(ROW()-1,Дела!$A:$K,11,0),"")</f>
        <v/>
      </c>
    </row>
    <row r="553" spans="1:8" x14ac:dyDescent="0.25">
      <c r="A553" s="11" t="str">
        <f>IF(COUNTIF(Дела!$A:$A,ROW()-1)&gt;0,VLOOKUP(ROW()-1,Дела!$A:$C,3,0),"")</f>
        <v/>
      </c>
      <c r="B553" s="11" t="str">
        <f>IF(COUNTIF(Дела!$A:$A,ROW()-1)&gt;0,VLOOKUP(ROW()-1,Дела!$A:$F,6,0),"")</f>
        <v/>
      </c>
      <c r="C553" s="11" t="str">
        <f>IF(COUNTIF(Дела!$A:$A,ROW()-1)&gt;0,VLOOKUP(ROW()-1,Дела!$A:$G,7,0),"")</f>
        <v/>
      </c>
      <c r="D553" s="11" t="str">
        <f>IF(COUNTIF(Дела!$A:$A,ROW()-1)&gt;0,VLOOKUP(ROW()-1,Дела!$A:$I,9,0),"")</f>
        <v/>
      </c>
      <c r="E553" s="11" t="str">
        <f t="shared" si="8"/>
        <v/>
      </c>
      <c r="F553" s="12" t="str">
        <f>IF(COUNTIF(Дела!$A:$A,ROW()-1)&gt;0,VLOOKUP(ROW()-1,Дела!$A:$M,13,0),"")</f>
        <v/>
      </c>
      <c r="G553" s="13" t="str">
        <f>IF(COUNTIF(Дела!$A:$A,ROW()-1)&gt;0,VLOOKUP(ROW()-1,Дела!$A:$N,14,0),"")</f>
        <v/>
      </c>
      <c r="H553" s="11" t="str">
        <f>IF(COUNTIF(Дела!$A:$A,ROW()-1)&gt;0,VLOOKUP(ROW()-1,Дела!$A:$K,11,0),"")</f>
        <v/>
      </c>
    </row>
    <row r="554" spans="1:8" x14ac:dyDescent="0.25">
      <c r="A554" s="11" t="str">
        <f>IF(COUNTIF(Дела!$A:$A,ROW()-1)&gt;0,VLOOKUP(ROW()-1,Дела!$A:$C,3,0),"")</f>
        <v/>
      </c>
      <c r="B554" s="11" t="str">
        <f>IF(COUNTIF(Дела!$A:$A,ROW()-1)&gt;0,VLOOKUP(ROW()-1,Дела!$A:$F,6,0),"")</f>
        <v/>
      </c>
      <c r="C554" s="11" t="str">
        <f>IF(COUNTIF(Дела!$A:$A,ROW()-1)&gt;0,VLOOKUP(ROW()-1,Дела!$A:$G,7,0),"")</f>
        <v/>
      </c>
      <c r="D554" s="11" t="str">
        <f>IF(COUNTIF(Дела!$A:$A,ROW()-1)&gt;0,VLOOKUP(ROW()-1,Дела!$A:$I,9,0),"")</f>
        <v/>
      </c>
      <c r="E554" s="11" t="str">
        <f t="shared" si="8"/>
        <v/>
      </c>
      <c r="F554" s="12" t="str">
        <f>IF(COUNTIF(Дела!$A:$A,ROW()-1)&gt;0,VLOOKUP(ROW()-1,Дела!$A:$M,13,0),"")</f>
        <v/>
      </c>
      <c r="G554" s="13" t="str">
        <f>IF(COUNTIF(Дела!$A:$A,ROW()-1)&gt;0,VLOOKUP(ROW()-1,Дела!$A:$N,14,0),"")</f>
        <v/>
      </c>
      <c r="H554" s="11" t="str">
        <f>IF(COUNTIF(Дела!$A:$A,ROW()-1)&gt;0,VLOOKUP(ROW()-1,Дела!$A:$K,11,0),"")</f>
        <v/>
      </c>
    </row>
    <row r="555" spans="1:8" x14ac:dyDescent="0.25">
      <c r="A555" s="11" t="str">
        <f>IF(COUNTIF(Дела!$A:$A,ROW()-1)&gt;0,VLOOKUP(ROW()-1,Дела!$A:$C,3,0),"")</f>
        <v/>
      </c>
      <c r="B555" s="11" t="str">
        <f>IF(COUNTIF(Дела!$A:$A,ROW()-1)&gt;0,VLOOKUP(ROW()-1,Дела!$A:$F,6,0),"")</f>
        <v/>
      </c>
      <c r="C555" s="11" t="str">
        <f>IF(COUNTIF(Дела!$A:$A,ROW()-1)&gt;0,VLOOKUP(ROW()-1,Дела!$A:$G,7,0),"")</f>
        <v/>
      </c>
      <c r="D555" s="11" t="str">
        <f>IF(COUNTIF(Дела!$A:$A,ROW()-1)&gt;0,VLOOKUP(ROW()-1,Дела!$A:$I,9,0),"")</f>
        <v/>
      </c>
      <c r="E555" s="11" t="str">
        <f t="shared" si="8"/>
        <v/>
      </c>
      <c r="F555" s="12" t="str">
        <f>IF(COUNTIF(Дела!$A:$A,ROW()-1)&gt;0,VLOOKUP(ROW()-1,Дела!$A:$M,13,0),"")</f>
        <v/>
      </c>
      <c r="G555" s="13" t="str">
        <f>IF(COUNTIF(Дела!$A:$A,ROW()-1)&gt;0,VLOOKUP(ROW()-1,Дела!$A:$N,14,0),"")</f>
        <v/>
      </c>
      <c r="H555" s="11" t="str">
        <f>IF(COUNTIF(Дела!$A:$A,ROW()-1)&gt;0,VLOOKUP(ROW()-1,Дела!$A:$K,11,0),"")</f>
        <v/>
      </c>
    </row>
    <row r="556" spans="1:8" x14ac:dyDescent="0.25">
      <c r="A556" s="11" t="str">
        <f>IF(COUNTIF(Дела!$A:$A,ROW()-1)&gt;0,VLOOKUP(ROW()-1,Дела!$A:$C,3,0),"")</f>
        <v/>
      </c>
      <c r="B556" s="11" t="str">
        <f>IF(COUNTIF(Дела!$A:$A,ROW()-1)&gt;0,VLOOKUP(ROW()-1,Дела!$A:$F,6,0),"")</f>
        <v/>
      </c>
      <c r="C556" s="11" t="str">
        <f>IF(COUNTIF(Дела!$A:$A,ROW()-1)&gt;0,VLOOKUP(ROW()-1,Дела!$A:$G,7,0),"")</f>
        <v/>
      </c>
      <c r="D556" s="11" t="str">
        <f>IF(COUNTIF(Дела!$A:$A,ROW()-1)&gt;0,VLOOKUP(ROW()-1,Дела!$A:$I,9,0),"")</f>
        <v/>
      </c>
      <c r="E556" s="11" t="str">
        <f t="shared" si="8"/>
        <v/>
      </c>
      <c r="F556" s="12" t="str">
        <f>IF(COUNTIF(Дела!$A:$A,ROW()-1)&gt;0,VLOOKUP(ROW()-1,Дела!$A:$M,13,0),"")</f>
        <v/>
      </c>
      <c r="G556" s="13" t="str">
        <f>IF(COUNTIF(Дела!$A:$A,ROW()-1)&gt;0,VLOOKUP(ROW()-1,Дела!$A:$N,14,0),"")</f>
        <v/>
      </c>
      <c r="H556" s="11" t="str">
        <f>IF(COUNTIF(Дела!$A:$A,ROW()-1)&gt;0,VLOOKUP(ROW()-1,Дела!$A:$K,11,0),"")</f>
        <v/>
      </c>
    </row>
    <row r="557" spans="1:8" x14ac:dyDescent="0.25">
      <c r="A557" s="11" t="str">
        <f>IF(COUNTIF(Дела!$A:$A,ROW()-1)&gt;0,VLOOKUP(ROW()-1,Дела!$A:$C,3,0),"")</f>
        <v/>
      </c>
      <c r="B557" s="11" t="str">
        <f>IF(COUNTIF(Дела!$A:$A,ROW()-1)&gt;0,VLOOKUP(ROW()-1,Дела!$A:$F,6,0),"")</f>
        <v/>
      </c>
      <c r="C557" s="11" t="str">
        <f>IF(COUNTIF(Дела!$A:$A,ROW()-1)&gt;0,VLOOKUP(ROW()-1,Дела!$A:$G,7,0),"")</f>
        <v/>
      </c>
      <c r="D557" s="11" t="str">
        <f>IF(COUNTIF(Дела!$A:$A,ROW()-1)&gt;0,VLOOKUP(ROW()-1,Дела!$A:$I,9,0),"")</f>
        <v/>
      </c>
      <c r="E557" s="11" t="str">
        <f t="shared" si="8"/>
        <v/>
      </c>
      <c r="F557" s="12" t="str">
        <f>IF(COUNTIF(Дела!$A:$A,ROW()-1)&gt;0,VLOOKUP(ROW()-1,Дела!$A:$M,13,0),"")</f>
        <v/>
      </c>
      <c r="G557" s="13" t="str">
        <f>IF(COUNTIF(Дела!$A:$A,ROW()-1)&gt;0,VLOOKUP(ROW()-1,Дела!$A:$N,14,0),"")</f>
        <v/>
      </c>
      <c r="H557" s="11" t="str">
        <f>IF(COUNTIF(Дела!$A:$A,ROW()-1)&gt;0,VLOOKUP(ROW()-1,Дела!$A:$K,11,0),"")</f>
        <v/>
      </c>
    </row>
    <row r="558" spans="1:8" x14ac:dyDescent="0.25">
      <c r="A558" s="11" t="str">
        <f>IF(COUNTIF(Дела!$A:$A,ROW()-1)&gt;0,VLOOKUP(ROW()-1,Дела!$A:$C,3,0),"")</f>
        <v/>
      </c>
      <c r="B558" s="11" t="str">
        <f>IF(COUNTIF(Дела!$A:$A,ROW()-1)&gt;0,VLOOKUP(ROW()-1,Дела!$A:$F,6,0),"")</f>
        <v/>
      </c>
      <c r="C558" s="11" t="str">
        <f>IF(COUNTIF(Дела!$A:$A,ROW()-1)&gt;0,VLOOKUP(ROW()-1,Дела!$A:$G,7,0),"")</f>
        <v/>
      </c>
      <c r="D558" s="11" t="str">
        <f>IF(COUNTIF(Дела!$A:$A,ROW()-1)&gt;0,VLOOKUP(ROW()-1,Дела!$A:$I,9,0),"")</f>
        <v/>
      </c>
      <c r="E558" s="11" t="str">
        <f t="shared" si="8"/>
        <v/>
      </c>
      <c r="F558" s="12" t="str">
        <f>IF(COUNTIF(Дела!$A:$A,ROW()-1)&gt;0,VLOOKUP(ROW()-1,Дела!$A:$M,13,0),"")</f>
        <v/>
      </c>
      <c r="G558" s="13" t="str">
        <f>IF(COUNTIF(Дела!$A:$A,ROW()-1)&gt;0,VLOOKUP(ROW()-1,Дела!$A:$N,14,0),"")</f>
        <v/>
      </c>
      <c r="H558" s="11" t="str">
        <f>IF(COUNTIF(Дела!$A:$A,ROW()-1)&gt;0,VLOOKUP(ROW()-1,Дела!$A:$K,11,0),"")</f>
        <v/>
      </c>
    </row>
    <row r="559" spans="1:8" x14ac:dyDescent="0.25">
      <c r="A559" s="11" t="str">
        <f>IF(COUNTIF(Дела!$A:$A,ROW()-1)&gt;0,VLOOKUP(ROW()-1,Дела!$A:$C,3,0),"")</f>
        <v/>
      </c>
      <c r="B559" s="11" t="str">
        <f>IF(COUNTIF(Дела!$A:$A,ROW()-1)&gt;0,VLOOKUP(ROW()-1,Дела!$A:$F,6,0),"")</f>
        <v/>
      </c>
      <c r="C559" s="11" t="str">
        <f>IF(COUNTIF(Дела!$A:$A,ROW()-1)&gt;0,VLOOKUP(ROW()-1,Дела!$A:$G,7,0),"")</f>
        <v/>
      </c>
      <c r="D559" s="11" t="str">
        <f>IF(COUNTIF(Дела!$A:$A,ROW()-1)&gt;0,VLOOKUP(ROW()-1,Дела!$A:$I,9,0),"")</f>
        <v/>
      </c>
      <c r="E559" s="11" t="str">
        <f t="shared" si="8"/>
        <v/>
      </c>
      <c r="F559" s="12" t="str">
        <f>IF(COUNTIF(Дела!$A:$A,ROW()-1)&gt;0,VLOOKUP(ROW()-1,Дела!$A:$M,13,0),"")</f>
        <v/>
      </c>
      <c r="G559" s="13" t="str">
        <f>IF(COUNTIF(Дела!$A:$A,ROW()-1)&gt;0,VLOOKUP(ROW()-1,Дела!$A:$N,14,0),"")</f>
        <v/>
      </c>
      <c r="H559" s="11" t="str">
        <f>IF(COUNTIF(Дела!$A:$A,ROW()-1)&gt;0,VLOOKUP(ROW()-1,Дела!$A:$K,11,0),"")</f>
        <v/>
      </c>
    </row>
    <row r="560" spans="1:8" x14ac:dyDescent="0.25">
      <c r="A560" s="11" t="str">
        <f>IF(COUNTIF(Дела!$A:$A,ROW()-1)&gt;0,VLOOKUP(ROW()-1,Дела!$A:$C,3,0),"")</f>
        <v/>
      </c>
      <c r="B560" s="11" t="str">
        <f>IF(COUNTIF(Дела!$A:$A,ROW()-1)&gt;0,VLOOKUP(ROW()-1,Дела!$A:$F,6,0),"")</f>
        <v/>
      </c>
      <c r="C560" s="11" t="str">
        <f>IF(COUNTIF(Дела!$A:$A,ROW()-1)&gt;0,VLOOKUP(ROW()-1,Дела!$A:$G,7,0),"")</f>
        <v/>
      </c>
      <c r="D560" s="11" t="str">
        <f>IF(COUNTIF(Дела!$A:$A,ROW()-1)&gt;0,VLOOKUP(ROW()-1,Дела!$A:$I,9,0),"")</f>
        <v/>
      </c>
      <c r="E560" s="11" t="str">
        <f t="shared" si="8"/>
        <v/>
      </c>
      <c r="F560" s="12" t="str">
        <f>IF(COUNTIF(Дела!$A:$A,ROW()-1)&gt;0,VLOOKUP(ROW()-1,Дела!$A:$M,13,0),"")</f>
        <v/>
      </c>
      <c r="G560" s="13" t="str">
        <f>IF(COUNTIF(Дела!$A:$A,ROW()-1)&gt;0,VLOOKUP(ROW()-1,Дела!$A:$N,14,0),"")</f>
        <v/>
      </c>
      <c r="H560" s="11" t="str">
        <f>IF(COUNTIF(Дела!$A:$A,ROW()-1)&gt;0,VLOOKUP(ROW()-1,Дела!$A:$K,11,0),"")</f>
        <v/>
      </c>
    </row>
    <row r="561" spans="1:8" x14ac:dyDescent="0.25">
      <c r="A561" s="11" t="str">
        <f>IF(COUNTIF(Дела!$A:$A,ROW()-1)&gt;0,VLOOKUP(ROW()-1,Дела!$A:$C,3,0),"")</f>
        <v/>
      </c>
      <c r="B561" s="11" t="str">
        <f>IF(COUNTIF(Дела!$A:$A,ROW()-1)&gt;0,VLOOKUP(ROW()-1,Дела!$A:$F,6,0),"")</f>
        <v/>
      </c>
      <c r="C561" s="11" t="str">
        <f>IF(COUNTIF(Дела!$A:$A,ROW()-1)&gt;0,VLOOKUP(ROW()-1,Дела!$A:$G,7,0),"")</f>
        <v/>
      </c>
      <c r="D561" s="11" t="str">
        <f>IF(COUNTIF(Дела!$A:$A,ROW()-1)&gt;0,VLOOKUP(ROW()-1,Дела!$A:$I,9,0),"")</f>
        <v/>
      </c>
      <c r="E561" s="11" t="str">
        <f t="shared" si="8"/>
        <v/>
      </c>
      <c r="F561" s="12" t="str">
        <f>IF(COUNTIF(Дела!$A:$A,ROW()-1)&gt;0,VLOOKUP(ROW()-1,Дела!$A:$M,13,0),"")</f>
        <v/>
      </c>
      <c r="G561" s="13" t="str">
        <f>IF(COUNTIF(Дела!$A:$A,ROW()-1)&gt;0,VLOOKUP(ROW()-1,Дела!$A:$N,14,0),"")</f>
        <v/>
      </c>
      <c r="H561" s="11" t="str">
        <f>IF(COUNTIF(Дела!$A:$A,ROW()-1)&gt;0,VLOOKUP(ROW()-1,Дела!$A:$K,11,0),"")</f>
        <v/>
      </c>
    </row>
    <row r="562" spans="1:8" x14ac:dyDescent="0.25">
      <c r="A562" s="11" t="str">
        <f>IF(COUNTIF(Дела!$A:$A,ROW()-1)&gt;0,VLOOKUP(ROW()-1,Дела!$A:$C,3,0),"")</f>
        <v/>
      </c>
      <c r="B562" s="11" t="str">
        <f>IF(COUNTIF(Дела!$A:$A,ROW()-1)&gt;0,VLOOKUP(ROW()-1,Дела!$A:$F,6,0),"")</f>
        <v/>
      </c>
      <c r="C562" s="11" t="str">
        <f>IF(COUNTIF(Дела!$A:$A,ROW()-1)&gt;0,VLOOKUP(ROW()-1,Дела!$A:$G,7,0),"")</f>
        <v/>
      </c>
      <c r="D562" s="11" t="str">
        <f>IF(COUNTIF(Дела!$A:$A,ROW()-1)&gt;0,VLOOKUP(ROW()-1,Дела!$A:$I,9,0),"")</f>
        <v/>
      </c>
      <c r="E562" s="11" t="str">
        <f t="shared" si="8"/>
        <v/>
      </c>
      <c r="F562" s="12" t="str">
        <f>IF(COUNTIF(Дела!$A:$A,ROW()-1)&gt;0,VLOOKUP(ROW()-1,Дела!$A:$M,13,0),"")</f>
        <v/>
      </c>
      <c r="G562" s="13" t="str">
        <f>IF(COUNTIF(Дела!$A:$A,ROW()-1)&gt;0,VLOOKUP(ROW()-1,Дела!$A:$N,14,0),"")</f>
        <v/>
      </c>
      <c r="H562" s="11" t="str">
        <f>IF(COUNTIF(Дела!$A:$A,ROW()-1)&gt;0,VLOOKUP(ROW()-1,Дела!$A:$K,11,0),"")</f>
        <v/>
      </c>
    </row>
    <row r="563" spans="1:8" x14ac:dyDescent="0.25">
      <c r="A563" s="11" t="str">
        <f>IF(COUNTIF(Дела!$A:$A,ROW()-1)&gt;0,VLOOKUP(ROW()-1,Дела!$A:$C,3,0),"")</f>
        <v/>
      </c>
      <c r="B563" s="11" t="str">
        <f>IF(COUNTIF(Дела!$A:$A,ROW()-1)&gt;0,VLOOKUP(ROW()-1,Дела!$A:$F,6,0),"")</f>
        <v/>
      </c>
      <c r="C563" s="11" t="str">
        <f>IF(COUNTIF(Дела!$A:$A,ROW()-1)&gt;0,VLOOKUP(ROW()-1,Дела!$A:$G,7,0),"")</f>
        <v/>
      </c>
      <c r="D563" s="11" t="str">
        <f>IF(COUNTIF(Дела!$A:$A,ROW()-1)&gt;0,VLOOKUP(ROW()-1,Дела!$A:$I,9,0),"")</f>
        <v/>
      </c>
      <c r="E563" s="11" t="str">
        <f t="shared" si="8"/>
        <v/>
      </c>
      <c r="F563" s="12" t="str">
        <f>IF(COUNTIF(Дела!$A:$A,ROW()-1)&gt;0,VLOOKUP(ROW()-1,Дела!$A:$M,13,0),"")</f>
        <v/>
      </c>
      <c r="G563" s="13" t="str">
        <f>IF(COUNTIF(Дела!$A:$A,ROW()-1)&gt;0,VLOOKUP(ROW()-1,Дела!$A:$N,14,0),"")</f>
        <v/>
      </c>
      <c r="H563" s="11" t="str">
        <f>IF(COUNTIF(Дела!$A:$A,ROW()-1)&gt;0,VLOOKUP(ROW()-1,Дела!$A:$K,11,0),"")</f>
        <v/>
      </c>
    </row>
    <row r="564" spans="1:8" x14ac:dyDescent="0.25">
      <c r="A564" s="11" t="str">
        <f>IF(COUNTIF(Дела!$A:$A,ROW()-1)&gt;0,VLOOKUP(ROW()-1,Дела!$A:$C,3,0),"")</f>
        <v/>
      </c>
      <c r="B564" s="11" t="str">
        <f>IF(COUNTIF(Дела!$A:$A,ROW()-1)&gt;0,VLOOKUP(ROW()-1,Дела!$A:$F,6,0),"")</f>
        <v/>
      </c>
      <c r="C564" s="11" t="str">
        <f>IF(COUNTIF(Дела!$A:$A,ROW()-1)&gt;0,VLOOKUP(ROW()-1,Дела!$A:$G,7,0),"")</f>
        <v/>
      </c>
      <c r="D564" s="11" t="str">
        <f>IF(COUNTIF(Дела!$A:$A,ROW()-1)&gt;0,VLOOKUP(ROW()-1,Дела!$A:$I,9,0),"")</f>
        <v/>
      </c>
      <c r="E564" s="11" t="str">
        <f t="shared" si="8"/>
        <v/>
      </c>
      <c r="F564" s="12" t="str">
        <f>IF(COUNTIF(Дела!$A:$A,ROW()-1)&gt;0,VLOOKUP(ROW()-1,Дела!$A:$M,13,0),"")</f>
        <v/>
      </c>
      <c r="G564" s="13" t="str">
        <f>IF(COUNTIF(Дела!$A:$A,ROW()-1)&gt;0,VLOOKUP(ROW()-1,Дела!$A:$N,14,0),"")</f>
        <v/>
      </c>
      <c r="H564" s="11" t="str">
        <f>IF(COUNTIF(Дела!$A:$A,ROW()-1)&gt;0,VLOOKUP(ROW()-1,Дела!$A:$K,11,0),"")</f>
        <v/>
      </c>
    </row>
    <row r="565" spans="1:8" x14ac:dyDescent="0.25">
      <c r="A565" s="11" t="str">
        <f>IF(COUNTIF(Дела!$A:$A,ROW()-1)&gt;0,VLOOKUP(ROW()-1,Дела!$A:$C,3,0),"")</f>
        <v/>
      </c>
      <c r="B565" s="11" t="str">
        <f>IF(COUNTIF(Дела!$A:$A,ROW()-1)&gt;0,VLOOKUP(ROW()-1,Дела!$A:$F,6,0),"")</f>
        <v/>
      </c>
      <c r="C565" s="11" t="str">
        <f>IF(COUNTIF(Дела!$A:$A,ROW()-1)&gt;0,VLOOKUP(ROW()-1,Дела!$A:$G,7,0),"")</f>
        <v/>
      </c>
      <c r="D565" s="11" t="str">
        <f>IF(COUNTIF(Дела!$A:$A,ROW()-1)&gt;0,VLOOKUP(ROW()-1,Дела!$A:$I,9,0),"")</f>
        <v/>
      </c>
      <c r="E565" s="11" t="str">
        <f t="shared" si="8"/>
        <v/>
      </c>
      <c r="F565" s="12" t="str">
        <f>IF(COUNTIF(Дела!$A:$A,ROW()-1)&gt;0,VLOOKUP(ROW()-1,Дела!$A:$M,13,0),"")</f>
        <v/>
      </c>
      <c r="G565" s="13" t="str">
        <f>IF(COUNTIF(Дела!$A:$A,ROW()-1)&gt;0,VLOOKUP(ROW()-1,Дела!$A:$N,14,0),"")</f>
        <v/>
      </c>
      <c r="H565" s="11" t="str">
        <f>IF(COUNTIF(Дела!$A:$A,ROW()-1)&gt;0,VLOOKUP(ROW()-1,Дела!$A:$K,11,0),"")</f>
        <v/>
      </c>
    </row>
    <row r="566" spans="1:8" x14ac:dyDescent="0.25">
      <c r="A566" s="11" t="str">
        <f>IF(COUNTIF(Дела!$A:$A,ROW()-1)&gt;0,VLOOKUP(ROW()-1,Дела!$A:$C,3,0),"")</f>
        <v/>
      </c>
      <c r="B566" s="11" t="str">
        <f>IF(COUNTIF(Дела!$A:$A,ROW()-1)&gt;0,VLOOKUP(ROW()-1,Дела!$A:$F,6,0),"")</f>
        <v/>
      </c>
      <c r="C566" s="11" t="str">
        <f>IF(COUNTIF(Дела!$A:$A,ROW()-1)&gt;0,VLOOKUP(ROW()-1,Дела!$A:$G,7,0),"")</f>
        <v/>
      </c>
      <c r="D566" s="11" t="str">
        <f>IF(COUNTIF(Дела!$A:$A,ROW()-1)&gt;0,VLOOKUP(ROW()-1,Дела!$A:$I,9,0),"")</f>
        <v/>
      </c>
      <c r="E566" s="11" t="str">
        <f t="shared" si="8"/>
        <v/>
      </c>
      <c r="F566" s="12" t="str">
        <f>IF(COUNTIF(Дела!$A:$A,ROW()-1)&gt;0,VLOOKUP(ROW()-1,Дела!$A:$M,13,0),"")</f>
        <v/>
      </c>
      <c r="G566" s="13" t="str">
        <f>IF(COUNTIF(Дела!$A:$A,ROW()-1)&gt;0,VLOOKUP(ROW()-1,Дела!$A:$N,14,0),"")</f>
        <v/>
      </c>
      <c r="H566" s="11" t="str">
        <f>IF(COUNTIF(Дела!$A:$A,ROW()-1)&gt;0,VLOOKUP(ROW()-1,Дела!$A:$K,11,0),"")</f>
        <v/>
      </c>
    </row>
    <row r="567" spans="1:8" x14ac:dyDescent="0.25">
      <c r="A567" s="11" t="str">
        <f>IF(COUNTIF(Дела!$A:$A,ROW()-1)&gt;0,VLOOKUP(ROW()-1,Дела!$A:$C,3,0),"")</f>
        <v/>
      </c>
      <c r="B567" s="11" t="str">
        <f>IF(COUNTIF(Дела!$A:$A,ROW()-1)&gt;0,VLOOKUP(ROW()-1,Дела!$A:$F,6,0),"")</f>
        <v/>
      </c>
      <c r="C567" s="11" t="str">
        <f>IF(COUNTIF(Дела!$A:$A,ROW()-1)&gt;0,VLOOKUP(ROW()-1,Дела!$A:$G,7,0),"")</f>
        <v/>
      </c>
      <c r="D567" s="11" t="str">
        <f>IF(COUNTIF(Дела!$A:$A,ROW()-1)&gt;0,VLOOKUP(ROW()-1,Дела!$A:$I,9,0),"")</f>
        <v/>
      </c>
      <c r="E567" s="11" t="str">
        <f t="shared" si="8"/>
        <v/>
      </c>
      <c r="F567" s="12" t="str">
        <f>IF(COUNTIF(Дела!$A:$A,ROW()-1)&gt;0,VLOOKUP(ROW()-1,Дела!$A:$M,13,0),"")</f>
        <v/>
      </c>
      <c r="G567" s="13" t="str">
        <f>IF(COUNTIF(Дела!$A:$A,ROW()-1)&gt;0,VLOOKUP(ROW()-1,Дела!$A:$N,14,0),"")</f>
        <v/>
      </c>
      <c r="H567" s="11" t="str">
        <f>IF(COUNTIF(Дела!$A:$A,ROW()-1)&gt;0,VLOOKUP(ROW()-1,Дела!$A:$K,11,0),"")</f>
        <v/>
      </c>
    </row>
    <row r="568" spans="1:8" x14ac:dyDescent="0.25">
      <c r="A568" s="11" t="str">
        <f>IF(COUNTIF(Дела!$A:$A,ROW()-1)&gt;0,VLOOKUP(ROW()-1,Дела!$A:$C,3,0),"")</f>
        <v/>
      </c>
      <c r="B568" s="11" t="str">
        <f>IF(COUNTIF(Дела!$A:$A,ROW()-1)&gt;0,VLOOKUP(ROW()-1,Дела!$A:$F,6,0),"")</f>
        <v/>
      </c>
      <c r="C568" s="11" t="str">
        <f>IF(COUNTIF(Дела!$A:$A,ROW()-1)&gt;0,VLOOKUP(ROW()-1,Дела!$A:$G,7,0),"")</f>
        <v/>
      </c>
      <c r="D568" s="11" t="str">
        <f>IF(COUNTIF(Дела!$A:$A,ROW()-1)&gt;0,VLOOKUP(ROW()-1,Дела!$A:$I,9,0),"")</f>
        <v/>
      </c>
      <c r="E568" s="11" t="str">
        <f t="shared" si="8"/>
        <v/>
      </c>
      <c r="F568" s="12" t="str">
        <f>IF(COUNTIF(Дела!$A:$A,ROW()-1)&gt;0,VLOOKUP(ROW()-1,Дела!$A:$M,13,0),"")</f>
        <v/>
      </c>
      <c r="G568" s="13" t="str">
        <f>IF(COUNTIF(Дела!$A:$A,ROW()-1)&gt;0,VLOOKUP(ROW()-1,Дела!$A:$N,14,0),"")</f>
        <v/>
      </c>
      <c r="H568" s="11" t="str">
        <f>IF(COUNTIF(Дела!$A:$A,ROW()-1)&gt;0,VLOOKUP(ROW()-1,Дела!$A:$K,11,0),"")</f>
        <v/>
      </c>
    </row>
    <row r="569" spans="1:8" x14ac:dyDescent="0.25">
      <c r="A569" s="11" t="str">
        <f>IF(COUNTIF(Дела!$A:$A,ROW()-1)&gt;0,VLOOKUP(ROW()-1,Дела!$A:$C,3,0),"")</f>
        <v/>
      </c>
      <c r="B569" s="11" t="str">
        <f>IF(COUNTIF(Дела!$A:$A,ROW()-1)&gt;0,VLOOKUP(ROW()-1,Дела!$A:$F,6,0),"")</f>
        <v/>
      </c>
      <c r="C569" s="11" t="str">
        <f>IF(COUNTIF(Дела!$A:$A,ROW()-1)&gt;0,VLOOKUP(ROW()-1,Дела!$A:$G,7,0),"")</f>
        <v/>
      </c>
      <c r="D569" s="11" t="str">
        <f>IF(COUNTIF(Дела!$A:$A,ROW()-1)&gt;0,VLOOKUP(ROW()-1,Дела!$A:$I,9,0),"")</f>
        <v/>
      </c>
      <c r="E569" s="11" t="str">
        <f t="shared" si="8"/>
        <v/>
      </c>
      <c r="F569" s="12" t="str">
        <f>IF(COUNTIF(Дела!$A:$A,ROW()-1)&gt;0,VLOOKUP(ROW()-1,Дела!$A:$M,13,0),"")</f>
        <v/>
      </c>
      <c r="G569" s="13" t="str">
        <f>IF(COUNTIF(Дела!$A:$A,ROW()-1)&gt;0,VLOOKUP(ROW()-1,Дела!$A:$N,14,0),"")</f>
        <v/>
      </c>
      <c r="H569" s="11" t="str">
        <f>IF(COUNTIF(Дела!$A:$A,ROW()-1)&gt;0,VLOOKUP(ROW()-1,Дела!$A:$K,11,0),"")</f>
        <v/>
      </c>
    </row>
    <row r="570" spans="1:8" x14ac:dyDescent="0.25">
      <c r="A570" s="11" t="str">
        <f>IF(COUNTIF(Дела!$A:$A,ROW()-1)&gt;0,VLOOKUP(ROW()-1,Дела!$A:$C,3,0),"")</f>
        <v/>
      </c>
      <c r="B570" s="11" t="str">
        <f>IF(COUNTIF(Дела!$A:$A,ROW()-1)&gt;0,VLOOKUP(ROW()-1,Дела!$A:$F,6,0),"")</f>
        <v/>
      </c>
      <c r="C570" s="11" t="str">
        <f>IF(COUNTIF(Дела!$A:$A,ROW()-1)&gt;0,VLOOKUP(ROW()-1,Дела!$A:$G,7,0),"")</f>
        <v/>
      </c>
      <c r="D570" s="11" t="str">
        <f>IF(COUNTIF(Дела!$A:$A,ROW()-1)&gt;0,VLOOKUP(ROW()-1,Дела!$A:$I,9,0),"")</f>
        <v/>
      </c>
      <c r="E570" s="11" t="str">
        <f t="shared" si="8"/>
        <v/>
      </c>
      <c r="F570" s="12" t="str">
        <f>IF(COUNTIF(Дела!$A:$A,ROW()-1)&gt;0,VLOOKUP(ROW()-1,Дела!$A:$M,13,0),"")</f>
        <v/>
      </c>
      <c r="G570" s="13" t="str">
        <f>IF(COUNTIF(Дела!$A:$A,ROW()-1)&gt;0,VLOOKUP(ROW()-1,Дела!$A:$N,14,0),"")</f>
        <v/>
      </c>
      <c r="H570" s="11" t="str">
        <f>IF(COUNTIF(Дела!$A:$A,ROW()-1)&gt;0,VLOOKUP(ROW()-1,Дела!$A:$K,11,0),"")</f>
        <v/>
      </c>
    </row>
    <row r="571" spans="1:8" x14ac:dyDescent="0.25">
      <c r="A571" s="11" t="str">
        <f>IF(COUNTIF(Дела!$A:$A,ROW()-1)&gt;0,VLOOKUP(ROW()-1,Дела!$A:$C,3,0),"")</f>
        <v/>
      </c>
      <c r="B571" s="11" t="str">
        <f>IF(COUNTIF(Дела!$A:$A,ROW()-1)&gt;0,VLOOKUP(ROW()-1,Дела!$A:$F,6,0),"")</f>
        <v/>
      </c>
      <c r="C571" s="11" t="str">
        <f>IF(COUNTIF(Дела!$A:$A,ROW()-1)&gt;0,VLOOKUP(ROW()-1,Дела!$A:$G,7,0),"")</f>
        <v/>
      </c>
      <c r="D571" s="11" t="str">
        <f>IF(COUNTIF(Дела!$A:$A,ROW()-1)&gt;0,VLOOKUP(ROW()-1,Дела!$A:$I,9,0),"")</f>
        <v/>
      </c>
      <c r="E571" s="11" t="str">
        <f t="shared" si="8"/>
        <v/>
      </c>
      <c r="F571" s="12" t="str">
        <f>IF(COUNTIF(Дела!$A:$A,ROW()-1)&gt;0,VLOOKUP(ROW()-1,Дела!$A:$M,13,0),"")</f>
        <v/>
      </c>
      <c r="G571" s="13" t="str">
        <f>IF(COUNTIF(Дела!$A:$A,ROW()-1)&gt;0,VLOOKUP(ROW()-1,Дела!$A:$N,14,0),"")</f>
        <v/>
      </c>
      <c r="H571" s="11" t="str">
        <f>IF(COUNTIF(Дела!$A:$A,ROW()-1)&gt;0,VLOOKUP(ROW()-1,Дела!$A:$K,11,0),"")</f>
        <v/>
      </c>
    </row>
    <row r="572" spans="1:8" x14ac:dyDescent="0.25">
      <c r="A572" s="11" t="str">
        <f>IF(COUNTIF(Дела!$A:$A,ROW()-1)&gt;0,VLOOKUP(ROW()-1,Дела!$A:$C,3,0),"")</f>
        <v/>
      </c>
      <c r="B572" s="11" t="str">
        <f>IF(COUNTIF(Дела!$A:$A,ROW()-1)&gt;0,VLOOKUP(ROW()-1,Дела!$A:$F,6,0),"")</f>
        <v/>
      </c>
      <c r="C572" s="11" t="str">
        <f>IF(COUNTIF(Дела!$A:$A,ROW()-1)&gt;0,VLOOKUP(ROW()-1,Дела!$A:$G,7,0),"")</f>
        <v/>
      </c>
      <c r="D572" s="11" t="str">
        <f>IF(COUNTIF(Дела!$A:$A,ROW()-1)&gt;0,VLOOKUP(ROW()-1,Дела!$A:$I,9,0),"")</f>
        <v/>
      </c>
      <c r="E572" s="11" t="str">
        <f t="shared" si="8"/>
        <v/>
      </c>
      <c r="F572" s="12" t="str">
        <f>IF(COUNTIF(Дела!$A:$A,ROW()-1)&gt;0,VLOOKUP(ROW()-1,Дела!$A:$M,13,0),"")</f>
        <v/>
      </c>
      <c r="G572" s="13" t="str">
        <f>IF(COUNTIF(Дела!$A:$A,ROW()-1)&gt;0,VLOOKUP(ROW()-1,Дела!$A:$N,14,0),"")</f>
        <v/>
      </c>
      <c r="H572" s="11" t="str">
        <f>IF(COUNTIF(Дела!$A:$A,ROW()-1)&gt;0,VLOOKUP(ROW()-1,Дела!$A:$K,11,0),"")</f>
        <v/>
      </c>
    </row>
    <row r="573" spans="1:8" x14ac:dyDescent="0.25">
      <c r="A573" s="11" t="str">
        <f>IF(COUNTIF(Дела!$A:$A,ROW()-1)&gt;0,VLOOKUP(ROW()-1,Дела!$A:$C,3,0),"")</f>
        <v/>
      </c>
      <c r="B573" s="11" t="str">
        <f>IF(COUNTIF(Дела!$A:$A,ROW()-1)&gt;0,VLOOKUP(ROW()-1,Дела!$A:$F,6,0),"")</f>
        <v/>
      </c>
      <c r="C573" s="11" t="str">
        <f>IF(COUNTIF(Дела!$A:$A,ROW()-1)&gt;0,VLOOKUP(ROW()-1,Дела!$A:$G,7,0),"")</f>
        <v/>
      </c>
      <c r="D573" s="11" t="str">
        <f>IF(COUNTIF(Дела!$A:$A,ROW()-1)&gt;0,VLOOKUP(ROW()-1,Дела!$A:$I,9,0),"")</f>
        <v/>
      </c>
      <c r="E573" s="11" t="str">
        <f t="shared" si="8"/>
        <v/>
      </c>
      <c r="F573" s="12" t="str">
        <f>IF(COUNTIF(Дела!$A:$A,ROW()-1)&gt;0,VLOOKUP(ROW()-1,Дела!$A:$M,13,0),"")</f>
        <v/>
      </c>
      <c r="G573" s="13" t="str">
        <f>IF(COUNTIF(Дела!$A:$A,ROW()-1)&gt;0,VLOOKUP(ROW()-1,Дела!$A:$N,14,0),"")</f>
        <v/>
      </c>
      <c r="H573" s="11" t="str">
        <f>IF(COUNTIF(Дела!$A:$A,ROW()-1)&gt;0,VLOOKUP(ROW()-1,Дела!$A:$K,11,0),"")</f>
        <v/>
      </c>
    </row>
    <row r="574" spans="1:8" x14ac:dyDescent="0.25">
      <c r="A574" s="11" t="str">
        <f>IF(COUNTIF(Дела!$A:$A,ROW()-1)&gt;0,VLOOKUP(ROW()-1,Дела!$A:$C,3,0),"")</f>
        <v/>
      </c>
      <c r="B574" s="11" t="str">
        <f>IF(COUNTIF(Дела!$A:$A,ROW()-1)&gt;0,VLOOKUP(ROW()-1,Дела!$A:$F,6,0),"")</f>
        <v/>
      </c>
      <c r="C574" s="11" t="str">
        <f>IF(COUNTIF(Дела!$A:$A,ROW()-1)&gt;0,VLOOKUP(ROW()-1,Дела!$A:$G,7,0),"")</f>
        <v/>
      </c>
      <c r="D574" s="11" t="str">
        <f>IF(COUNTIF(Дела!$A:$A,ROW()-1)&gt;0,VLOOKUP(ROW()-1,Дела!$A:$I,9,0),"")</f>
        <v/>
      </c>
      <c r="E574" s="11" t="str">
        <f t="shared" si="8"/>
        <v/>
      </c>
      <c r="F574" s="12" t="str">
        <f>IF(COUNTIF(Дела!$A:$A,ROW()-1)&gt;0,VLOOKUP(ROW()-1,Дела!$A:$M,13,0),"")</f>
        <v/>
      </c>
      <c r="G574" s="13" t="str">
        <f>IF(COUNTIF(Дела!$A:$A,ROW()-1)&gt;0,VLOOKUP(ROW()-1,Дела!$A:$N,14,0),"")</f>
        <v/>
      </c>
      <c r="H574" s="11" t="str">
        <f>IF(COUNTIF(Дела!$A:$A,ROW()-1)&gt;0,VLOOKUP(ROW()-1,Дела!$A:$K,11,0),"")</f>
        <v/>
      </c>
    </row>
    <row r="575" spans="1:8" x14ac:dyDescent="0.25">
      <c r="A575" s="11" t="str">
        <f>IF(COUNTIF(Дела!$A:$A,ROW()-1)&gt;0,VLOOKUP(ROW()-1,Дела!$A:$C,3,0),"")</f>
        <v/>
      </c>
      <c r="B575" s="11" t="str">
        <f>IF(COUNTIF(Дела!$A:$A,ROW()-1)&gt;0,VLOOKUP(ROW()-1,Дела!$A:$F,6,0),"")</f>
        <v/>
      </c>
      <c r="C575" s="11" t="str">
        <f>IF(COUNTIF(Дела!$A:$A,ROW()-1)&gt;0,VLOOKUP(ROW()-1,Дела!$A:$G,7,0),"")</f>
        <v/>
      </c>
      <c r="D575" s="11" t="str">
        <f>IF(COUNTIF(Дела!$A:$A,ROW()-1)&gt;0,VLOOKUP(ROW()-1,Дела!$A:$I,9,0),"")</f>
        <v/>
      </c>
      <c r="E575" s="11" t="str">
        <f t="shared" si="8"/>
        <v/>
      </c>
      <c r="F575" s="12" t="str">
        <f>IF(COUNTIF(Дела!$A:$A,ROW()-1)&gt;0,VLOOKUP(ROW()-1,Дела!$A:$M,13,0),"")</f>
        <v/>
      </c>
      <c r="G575" s="13" t="str">
        <f>IF(COUNTIF(Дела!$A:$A,ROW()-1)&gt;0,VLOOKUP(ROW()-1,Дела!$A:$N,14,0),"")</f>
        <v/>
      </c>
      <c r="H575" s="11" t="str">
        <f>IF(COUNTIF(Дела!$A:$A,ROW()-1)&gt;0,VLOOKUP(ROW()-1,Дела!$A:$K,11,0),"")</f>
        <v/>
      </c>
    </row>
    <row r="576" spans="1:8" x14ac:dyDescent="0.25">
      <c r="A576" s="11" t="str">
        <f>IF(COUNTIF(Дела!$A:$A,ROW()-1)&gt;0,VLOOKUP(ROW()-1,Дела!$A:$C,3,0),"")</f>
        <v/>
      </c>
      <c r="B576" s="11" t="str">
        <f>IF(COUNTIF(Дела!$A:$A,ROW()-1)&gt;0,VLOOKUP(ROW()-1,Дела!$A:$F,6,0),"")</f>
        <v/>
      </c>
      <c r="C576" s="11" t="str">
        <f>IF(COUNTIF(Дела!$A:$A,ROW()-1)&gt;0,VLOOKUP(ROW()-1,Дела!$A:$G,7,0),"")</f>
        <v/>
      </c>
      <c r="D576" s="11" t="str">
        <f>IF(COUNTIF(Дела!$A:$A,ROW()-1)&gt;0,VLOOKUP(ROW()-1,Дела!$A:$I,9,0),"")</f>
        <v/>
      </c>
      <c r="E576" s="11" t="str">
        <f t="shared" si="8"/>
        <v/>
      </c>
      <c r="F576" s="12" t="str">
        <f>IF(COUNTIF(Дела!$A:$A,ROW()-1)&gt;0,VLOOKUP(ROW()-1,Дела!$A:$M,13,0),"")</f>
        <v/>
      </c>
      <c r="G576" s="13" t="str">
        <f>IF(COUNTIF(Дела!$A:$A,ROW()-1)&gt;0,VLOOKUP(ROW()-1,Дела!$A:$N,14,0),"")</f>
        <v/>
      </c>
      <c r="H576" s="11" t="str">
        <f>IF(COUNTIF(Дела!$A:$A,ROW()-1)&gt;0,VLOOKUP(ROW()-1,Дела!$A:$K,11,0),"")</f>
        <v/>
      </c>
    </row>
    <row r="577" spans="1:8" x14ac:dyDescent="0.25">
      <c r="A577" s="11" t="str">
        <f>IF(COUNTIF(Дела!$A:$A,ROW()-1)&gt;0,VLOOKUP(ROW()-1,Дела!$A:$C,3,0),"")</f>
        <v/>
      </c>
      <c r="B577" s="11" t="str">
        <f>IF(COUNTIF(Дела!$A:$A,ROW()-1)&gt;0,VLOOKUP(ROW()-1,Дела!$A:$F,6,0),"")</f>
        <v/>
      </c>
      <c r="C577" s="11" t="str">
        <f>IF(COUNTIF(Дела!$A:$A,ROW()-1)&gt;0,VLOOKUP(ROW()-1,Дела!$A:$G,7,0),"")</f>
        <v/>
      </c>
      <c r="D577" s="11" t="str">
        <f>IF(COUNTIF(Дела!$A:$A,ROW()-1)&gt;0,VLOOKUP(ROW()-1,Дела!$A:$I,9,0),"")</f>
        <v/>
      </c>
      <c r="E577" s="11" t="str">
        <f t="shared" si="8"/>
        <v/>
      </c>
      <c r="F577" s="12" t="str">
        <f>IF(COUNTIF(Дела!$A:$A,ROW()-1)&gt;0,VLOOKUP(ROW()-1,Дела!$A:$M,13,0),"")</f>
        <v/>
      </c>
      <c r="G577" s="13" t="str">
        <f>IF(COUNTIF(Дела!$A:$A,ROW()-1)&gt;0,VLOOKUP(ROW()-1,Дела!$A:$N,14,0),"")</f>
        <v/>
      </c>
      <c r="H577" s="11" t="str">
        <f>IF(COUNTIF(Дела!$A:$A,ROW()-1)&gt;0,VLOOKUP(ROW()-1,Дела!$A:$K,11,0),"")</f>
        <v/>
      </c>
    </row>
    <row r="578" spans="1:8" x14ac:dyDescent="0.25">
      <c r="A578" s="11" t="str">
        <f>IF(COUNTIF(Дела!$A:$A,ROW()-1)&gt;0,VLOOKUP(ROW()-1,Дела!$A:$C,3,0),"")</f>
        <v/>
      </c>
      <c r="B578" s="11" t="str">
        <f>IF(COUNTIF(Дела!$A:$A,ROW()-1)&gt;0,VLOOKUP(ROW()-1,Дела!$A:$F,6,0),"")</f>
        <v/>
      </c>
      <c r="C578" s="11" t="str">
        <f>IF(COUNTIF(Дела!$A:$A,ROW()-1)&gt;0,VLOOKUP(ROW()-1,Дела!$A:$G,7,0),"")</f>
        <v/>
      </c>
      <c r="D578" s="11" t="str">
        <f>IF(COUNTIF(Дела!$A:$A,ROW()-1)&gt;0,VLOOKUP(ROW()-1,Дела!$A:$I,9,0),"")</f>
        <v/>
      </c>
      <c r="E578" s="11" t="str">
        <f t="shared" si="8"/>
        <v/>
      </c>
      <c r="F578" s="12" t="str">
        <f>IF(COUNTIF(Дела!$A:$A,ROW()-1)&gt;0,VLOOKUP(ROW()-1,Дела!$A:$M,13,0),"")</f>
        <v/>
      </c>
      <c r="G578" s="13" t="str">
        <f>IF(COUNTIF(Дела!$A:$A,ROW()-1)&gt;0,VLOOKUP(ROW()-1,Дела!$A:$N,14,0),"")</f>
        <v/>
      </c>
      <c r="H578" s="11" t="str">
        <f>IF(COUNTIF(Дела!$A:$A,ROW()-1)&gt;0,VLOOKUP(ROW()-1,Дела!$A:$K,11,0),"")</f>
        <v/>
      </c>
    </row>
    <row r="579" spans="1:8" x14ac:dyDescent="0.25">
      <c r="A579" s="11" t="str">
        <f>IF(COUNTIF(Дела!$A:$A,ROW()-1)&gt;0,VLOOKUP(ROW()-1,Дела!$A:$C,3,0),"")</f>
        <v/>
      </c>
      <c r="B579" s="11" t="str">
        <f>IF(COUNTIF(Дела!$A:$A,ROW()-1)&gt;0,VLOOKUP(ROW()-1,Дела!$A:$F,6,0),"")</f>
        <v/>
      </c>
      <c r="C579" s="11" t="str">
        <f>IF(COUNTIF(Дела!$A:$A,ROW()-1)&gt;0,VLOOKUP(ROW()-1,Дела!$A:$G,7,0),"")</f>
        <v/>
      </c>
      <c r="D579" s="11" t="str">
        <f>IF(COUNTIF(Дела!$A:$A,ROW()-1)&gt;0,VLOOKUP(ROW()-1,Дела!$A:$I,9,0),"")</f>
        <v/>
      </c>
      <c r="E579" s="11" t="str">
        <f t="shared" ref="E579:E600" si="9">IF(H579="","",MID(H579,SEARCH(" ",H579)+1,1000))</f>
        <v/>
      </c>
      <c r="F579" s="12" t="str">
        <f>IF(COUNTIF(Дела!$A:$A,ROW()-1)&gt;0,VLOOKUP(ROW()-1,Дела!$A:$M,13,0),"")</f>
        <v/>
      </c>
      <c r="G579" s="13" t="str">
        <f>IF(COUNTIF(Дела!$A:$A,ROW()-1)&gt;0,VLOOKUP(ROW()-1,Дела!$A:$N,14,0),"")</f>
        <v/>
      </c>
      <c r="H579" s="11" t="str">
        <f>IF(COUNTIF(Дела!$A:$A,ROW()-1)&gt;0,VLOOKUP(ROW()-1,Дела!$A:$K,11,0),"")</f>
        <v/>
      </c>
    </row>
    <row r="580" spans="1:8" x14ac:dyDescent="0.25">
      <c r="A580" s="11" t="str">
        <f>IF(COUNTIF(Дела!$A:$A,ROW()-1)&gt;0,VLOOKUP(ROW()-1,Дела!$A:$C,3,0),"")</f>
        <v/>
      </c>
      <c r="B580" s="11" t="str">
        <f>IF(COUNTIF(Дела!$A:$A,ROW()-1)&gt;0,VLOOKUP(ROW()-1,Дела!$A:$F,6,0),"")</f>
        <v/>
      </c>
      <c r="C580" s="11" t="str">
        <f>IF(COUNTIF(Дела!$A:$A,ROW()-1)&gt;0,VLOOKUP(ROW()-1,Дела!$A:$G,7,0),"")</f>
        <v/>
      </c>
      <c r="D580" s="11" t="str">
        <f>IF(COUNTIF(Дела!$A:$A,ROW()-1)&gt;0,VLOOKUP(ROW()-1,Дела!$A:$I,9,0),"")</f>
        <v/>
      </c>
      <c r="E580" s="11" t="str">
        <f t="shared" si="9"/>
        <v/>
      </c>
      <c r="F580" s="12" t="str">
        <f>IF(COUNTIF(Дела!$A:$A,ROW()-1)&gt;0,VLOOKUP(ROW()-1,Дела!$A:$M,13,0),"")</f>
        <v/>
      </c>
      <c r="G580" s="13" t="str">
        <f>IF(COUNTIF(Дела!$A:$A,ROW()-1)&gt;0,VLOOKUP(ROW()-1,Дела!$A:$N,14,0),"")</f>
        <v/>
      </c>
      <c r="H580" s="11" t="str">
        <f>IF(COUNTIF(Дела!$A:$A,ROW()-1)&gt;0,VLOOKUP(ROW()-1,Дела!$A:$K,11,0),"")</f>
        <v/>
      </c>
    </row>
    <row r="581" spans="1:8" x14ac:dyDescent="0.25">
      <c r="A581" s="11" t="str">
        <f>IF(COUNTIF(Дела!$A:$A,ROW()-1)&gt;0,VLOOKUP(ROW()-1,Дела!$A:$C,3,0),"")</f>
        <v/>
      </c>
      <c r="B581" s="11" t="str">
        <f>IF(COUNTIF(Дела!$A:$A,ROW()-1)&gt;0,VLOOKUP(ROW()-1,Дела!$A:$F,6,0),"")</f>
        <v/>
      </c>
      <c r="C581" s="11" t="str">
        <f>IF(COUNTIF(Дела!$A:$A,ROW()-1)&gt;0,VLOOKUP(ROW()-1,Дела!$A:$G,7,0),"")</f>
        <v/>
      </c>
      <c r="D581" s="11" t="str">
        <f>IF(COUNTIF(Дела!$A:$A,ROW()-1)&gt;0,VLOOKUP(ROW()-1,Дела!$A:$I,9,0),"")</f>
        <v/>
      </c>
      <c r="E581" s="11" t="str">
        <f t="shared" si="9"/>
        <v/>
      </c>
      <c r="F581" s="12" t="str">
        <f>IF(COUNTIF(Дела!$A:$A,ROW()-1)&gt;0,VLOOKUP(ROW()-1,Дела!$A:$M,13,0),"")</f>
        <v/>
      </c>
      <c r="G581" s="13" t="str">
        <f>IF(COUNTIF(Дела!$A:$A,ROW()-1)&gt;0,VLOOKUP(ROW()-1,Дела!$A:$N,14,0),"")</f>
        <v/>
      </c>
      <c r="H581" s="11" t="str">
        <f>IF(COUNTIF(Дела!$A:$A,ROW()-1)&gt;0,VLOOKUP(ROW()-1,Дела!$A:$K,11,0),"")</f>
        <v/>
      </c>
    </row>
    <row r="582" spans="1:8" x14ac:dyDescent="0.25">
      <c r="A582" s="11" t="str">
        <f>IF(COUNTIF(Дела!$A:$A,ROW()-1)&gt;0,VLOOKUP(ROW()-1,Дела!$A:$C,3,0),"")</f>
        <v/>
      </c>
      <c r="B582" s="11" t="str">
        <f>IF(COUNTIF(Дела!$A:$A,ROW()-1)&gt;0,VLOOKUP(ROW()-1,Дела!$A:$F,6,0),"")</f>
        <v/>
      </c>
      <c r="C582" s="11" t="str">
        <f>IF(COUNTIF(Дела!$A:$A,ROW()-1)&gt;0,VLOOKUP(ROW()-1,Дела!$A:$G,7,0),"")</f>
        <v/>
      </c>
      <c r="D582" s="11" t="str">
        <f>IF(COUNTIF(Дела!$A:$A,ROW()-1)&gt;0,VLOOKUP(ROW()-1,Дела!$A:$I,9,0),"")</f>
        <v/>
      </c>
      <c r="E582" s="11" t="str">
        <f t="shared" si="9"/>
        <v/>
      </c>
      <c r="F582" s="12" t="str">
        <f>IF(COUNTIF(Дела!$A:$A,ROW()-1)&gt;0,VLOOKUP(ROW()-1,Дела!$A:$M,13,0),"")</f>
        <v/>
      </c>
      <c r="G582" s="13" t="str">
        <f>IF(COUNTIF(Дела!$A:$A,ROW()-1)&gt;0,VLOOKUP(ROW()-1,Дела!$A:$N,14,0),"")</f>
        <v/>
      </c>
      <c r="H582" s="11" t="str">
        <f>IF(COUNTIF(Дела!$A:$A,ROW()-1)&gt;0,VLOOKUP(ROW()-1,Дела!$A:$K,11,0),"")</f>
        <v/>
      </c>
    </row>
    <row r="583" spans="1:8" x14ac:dyDescent="0.25">
      <c r="A583" s="11" t="str">
        <f>IF(COUNTIF(Дела!$A:$A,ROW()-1)&gt;0,VLOOKUP(ROW()-1,Дела!$A:$C,3,0),"")</f>
        <v/>
      </c>
      <c r="B583" s="11" t="str">
        <f>IF(COUNTIF(Дела!$A:$A,ROW()-1)&gt;0,VLOOKUP(ROW()-1,Дела!$A:$F,6,0),"")</f>
        <v/>
      </c>
      <c r="C583" s="11" t="str">
        <f>IF(COUNTIF(Дела!$A:$A,ROW()-1)&gt;0,VLOOKUP(ROW()-1,Дела!$A:$G,7,0),"")</f>
        <v/>
      </c>
      <c r="D583" s="11" t="str">
        <f>IF(COUNTIF(Дела!$A:$A,ROW()-1)&gt;0,VLOOKUP(ROW()-1,Дела!$A:$I,9,0),"")</f>
        <v/>
      </c>
      <c r="E583" s="11" t="str">
        <f t="shared" si="9"/>
        <v/>
      </c>
      <c r="F583" s="12" t="str">
        <f>IF(COUNTIF(Дела!$A:$A,ROW()-1)&gt;0,VLOOKUP(ROW()-1,Дела!$A:$M,13,0),"")</f>
        <v/>
      </c>
      <c r="G583" s="13" t="str">
        <f>IF(COUNTIF(Дела!$A:$A,ROW()-1)&gt;0,VLOOKUP(ROW()-1,Дела!$A:$N,14,0),"")</f>
        <v/>
      </c>
      <c r="H583" s="11" t="str">
        <f>IF(COUNTIF(Дела!$A:$A,ROW()-1)&gt;0,VLOOKUP(ROW()-1,Дела!$A:$K,11,0),"")</f>
        <v/>
      </c>
    </row>
    <row r="584" spans="1:8" x14ac:dyDescent="0.25">
      <c r="A584" s="11" t="str">
        <f>IF(COUNTIF(Дела!$A:$A,ROW()-1)&gt;0,VLOOKUP(ROW()-1,Дела!$A:$C,3,0),"")</f>
        <v/>
      </c>
      <c r="B584" s="11" t="str">
        <f>IF(COUNTIF(Дела!$A:$A,ROW()-1)&gt;0,VLOOKUP(ROW()-1,Дела!$A:$F,6,0),"")</f>
        <v/>
      </c>
      <c r="C584" s="11" t="str">
        <f>IF(COUNTIF(Дела!$A:$A,ROW()-1)&gt;0,VLOOKUP(ROW()-1,Дела!$A:$G,7,0),"")</f>
        <v/>
      </c>
      <c r="D584" s="11" t="str">
        <f>IF(COUNTIF(Дела!$A:$A,ROW()-1)&gt;0,VLOOKUP(ROW()-1,Дела!$A:$I,9,0),"")</f>
        <v/>
      </c>
      <c r="E584" s="11" t="str">
        <f t="shared" si="9"/>
        <v/>
      </c>
      <c r="F584" s="12" t="str">
        <f>IF(COUNTIF(Дела!$A:$A,ROW()-1)&gt;0,VLOOKUP(ROW()-1,Дела!$A:$M,13,0),"")</f>
        <v/>
      </c>
      <c r="G584" s="13" t="str">
        <f>IF(COUNTIF(Дела!$A:$A,ROW()-1)&gt;0,VLOOKUP(ROW()-1,Дела!$A:$N,14,0),"")</f>
        <v/>
      </c>
      <c r="H584" s="11" t="str">
        <f>IF(COUNTIF(Дела!$A:$A,ROW()-1)&gt;0,VLOOKUP(ROW()-1,Дела!$A:$K,11,0),"")</f>
        <v/>
      </c>
    </row>
    <row r="585" spans="1:8" x14ac:dyDescent="0.25">
      <c r="A585" s="11" t="str">
        <f>IF(COUNTIF(Дела!$A:$A,ROW()-1)&gt;0,VLOOKUP(ROW()-1,Дела!$A:$C,3,0),"")</f>
        <v/>
      </c>
      <c r="B585" s="11" t="str">
        <f>IF(COUNTIF(Дела!$A:$A,ROW()-1)&gt;0,VLOOKUP(ROW()-1,Дела!$A:$F,6,0),"")</f>
        <v/>
      </c>
      <c r="C585" s="11" t="str">
        <f>IF(COUNTIF(Дела!$A:$A,ROW()-1)&gt;0,VLOOKUP(ROW()-1,Дела!$A:$G,7,0),"")</f>
        <v/>
      </c>
      <c r="D585" s="11" t="str">
        <f>IF(COUNTIF(Дела!$A:$A,ROW()-1)&gt;0,VLOOKUP(ROW()-1,Дела!$A:$I,9,0),"")</f>
        <v/>
      </c>
      <c r="E585" s="11" t="str">
        <f t="shared" si="9"/>
        <v/>
      </c>
      <c r="F585" s="12" t="str">
        <f>IF(COUNTIF(Дела!$A:$A,ROW()-1)&gt;0,VLOOKUP(ROW()-1,Дела!$A:$M,13,0),"")</f>
        <v/>
      </c>
      <c r="G585" s="13" t="str">
        <f>IF(COUNTIF(Дела!$A:$A,ROW()-1)&gt;0,VLOOKUP(ROW()-1,Дела!$A:$N,14,0),"")</f>
        <v/>
      </c>
      <c r="H585" s="11" t="str">
        <f>IF(COUNTIF(Дела!$A:$A,ROW()-1)&gt;0,VLOOKUP(ROW()-1,Дела!$A:$K,11,0),"")</f>
        <v/>
      </c>
    </row>
    <row r="586" spans="1:8" x14ac:dyDescent="0.25">
      <c r="A586" s="11" t="str">
        <f>IF(COUNTIF(Дела!$A:$A,ROW()-1)&gt;0,VLOOKUP(ROW()-1,Дела!$A:$C,3,0),"")</f>
        <v/>
      </c>
      <c r="B586" s="11" t="str">
        <f>IF(COUNTIF(Дела!$A:$A,ROW()-1)&gt;0,VLOOKUP(ROW()-1,Дела!$A:$F,6,0),"")</f>
        <v/>
      </c>
      <c r="C586" s="11" t="str">
        <f>IF(COUNTIF(Дела!$A:$A,ROW()-1)&gt;0,VLOOKUP(ROW()-1,Дела!$A:$G,7,0),"")</f>
        <v/>
      </c>
      <c r="D586" s="11" t="str">
        <f>IF(COUNTIF(Дела!$A:$A,ROW()-1)&gt;0,VLOOKUP(ROW()-1,Дела!$A:$I,9,0),"")</f>
        <v/>
      </c>
      <c r="E586" s="11" t="str">
        <f t="shared" si="9"/>
        <v/>
      </c>
      <c r="F586" s="12" t="str">
        <f>IF(COUNTIF(Дела!$A:$A,ROW()-1)&gt;0,VLOOKUP(ROW()-1,Дела!$A:$M,13,0),"")</f>
        <v/>
      </c>
      <c r="G586" s="13" t="str">
        <f>IF(COUNTIF(Дела!$A:$A,ROW()-1)&gt;0,VLOOKUP(ROW()-1,Дела!$A:$N,14,0),"")</f>
        <v/>
      </c>
      <c r="H586" s="11" t="str">
        <f>IF(COUNTIF(Дела!$A:$A,ROW()-1)&gt;0,VLOOKUP(ROW()-1,Дела!$A:$K,11,0),"")</f>
        <v/>
      </c>
    </row>
    <row r="587" spans="1:8" x14ac:dyDescent="0.25">
      <c r="A587" s="11" t="str">
        <f>IF(COUNTIF(Дела!$A:$A,ROW()-1)&gt;0,VLOOKUP(ROW()-1,Дела!$A:$C,3,0),"")</f>
        <v/>
      </c>
      <c r="B587" s="11" t="str">
        <f>IF(COUNTIF(Дела!$A:$A,ROW()-1)&gt;0,VLOOKUP(ROW()-1,Дела!$A:$F,6,0),"")</f>
        <v/>
      </c>
      <c r="C587" s="11" t="str">
        <f>IF(COUNTIF(Дела!$A:$A,ROW()-1)&gt;0,VLOOKUP(ROW()-1,Дела!$A:$G,7,0),"")</f>
        <v/>
      </c>
      <c r="D587" s="11" t="str">
        <f>IF(COUNTIF(Дела!$A:$A,ROW()-1)&gt;0,VLOOKUP(ROW()-1,Дела!$A:$I,9,0),"")</f>
        <v/>
      </c>
      <c r="E587" s="11" t="str">
        <f t="shared" si="9"/>
        <v/>
      </c>
      <c r="F587" s="12" t="str">
        <f>IF(COUNTIF(Дела!$A:$A,ROW()-1)&gt;0,VLOOKUP(ROW()-1,Дела!$A:$M,13,0),"")</f>
        <v/>
      </c>
      <c r="G587" s="13" t="str">
        <f>IF(COUNTIF(Дела!$A:$A,ROW()-1)&gt;0,VLOOKUP(ROW()-1,Дела!$A:$N,14,0),"")</f>
        <v/>
      </c>
      <c r="H587" s="11" t="str">
        <f>IF(COUNTIF(Дела!$A:$A,ROW()-1)&gt;0,VLOOKUP(ROW()-1,Дела!$A:$K,11,0),"")</f>
        <v/>
      </c>
    </row>
    <row r="588" spans="1:8" x14ac:dyDescent="0.25">
      <c r="A588" s="11" t="str">
        <f>IF(COUNTIF(Дела!$A:$A,ROW()-1)&gt;0,VLOOKUP(ROW()-1,Дела!$A:$C,3,0),"")</f>
        <v/>
      </c>
      <c r="B588" s="11" t="str">
        <f>IF(COUNTIF(Дела!$A:$A,ROW()-1)&gt;0,VLOOKUP(ROW()-1,Дела!$A:$F,6,0),"")</f>
        <v/>
      </c>
      <c r="C588" s="11" t="str">
        <f>IF(COUNTIF(Дела!$A:$A,ROW()-1)&gt;0,VLOOKUP(ROW()-1,Дела!$A:$G,7,0),"")</f>
        <v/>
      </c>
      <c r="D588" s="11" t="str">
        <f>IF(COUNTIF(Дела!$A:$A,ROW()-1)&gt;0,VLOOKUP(ROW()-1,Дела!$A:$I,9,0),"")</f>
        <v/>
      </c>
      <c r="E588" s="11" t="str">
        <f t="shared" si="9"/>
        <v/>
      </c>
      <c r="F588" s="12" t="str">
        <f>IF(COUNTIF(Дела!$A:$A,ROW()-1)&gt;0,VLOOKUP(ROW()-1,Дела!$A:$M,13,0),"")</f>
        <v/>
      </c>
      <c r="G588" s="13" t="str">
        <f>IF(COUNTIF(Дела!$A:$A,ROW()-1)&gt;0,VLOOKUP(ROW()-1,Дела!$A:$N,14,0),"")</f>
        <v/>
      </c>
      <c r="H588" s="11" t="str">
        <f>IF(COUNTIF(Дела!$A:$A,ROW()-1)&gt;0,VLOOKUP(ROW()-1,Дела!$A:$K,11,0),"")</f>
        <v/>
      </c>
    </row>
    <row r="589" spans="1:8" x14ac:dyDescent="0.25">
      <c r="A589" s="11" t="str">
        <f>IF(COUNTIF(Дела!$A:$A,ROW()-1)&gt;0,VLOOKUP(ROW()-1,Дела!$A:$C,3,0),"")</f>
        <v/>
      </c>
      <c r="B589" s="11" t="str">
        <f>IF(COUNTIF(Дела!$A:$A,ROW()-1)&gt;0,VLOOKUP(ROW()-1,Дела!$A:$F,6,0),"")</f>
        <v/>
      </c>
      <c r="C589" s="11" t="str">
        <f>IF(COUNTIF(Дела!$A:$A,ROW()-1)&gt;0,VLOOKUP(ROW()-1,Дела!$A:$G,7,0),"")</f>
        <v/>
      </c>
      <c r="D589" s="11" t="str">
        <f>IF(COUNTIF(Дела!$A:$A,ROW()-1)&gt;0,VLOOKUP(ROW()-1,Дела!$A:$I,9,0),"")</f>
        <v/>
      </c>
      <c r="E589" s="11" t="str">
        <f t="shared" si="9"/>
        <v/>
      </c>
      <c r="F589" s="12" t="str">
        <f>IF(COUNTIF(Дела!$A:$A,ROW()-1)&gt;0,VLOOKUP(ROW()-1,Дела!$A:$M,13,0),"")</f>
        <v/>
      </c>
      <c r="G589" s="13" t="str">
        <f>IF(COUNTIF(Дела!$A:$A,ROW()-1)&gt;0,VLOOKUP(ROW()-1,Дела!$A:$N,14,0),"")</f>
        <v/>
      </c>
      <c r="H589" s="11" t="str">
        <f>IF(COUNTIF(Дела!$A:$A,ROW()-1)&gt;0,VLOOKUP(ROW()-1,Дела!$A:$K,11,0),"")</f>
        <v/>
      </c>
    </row>
    <row r="590" spans="1:8" x14ac:dyDescent="0.25">
      <c r="A590" s="11" t="str">
        <f>IF(COUNTIF(Дела!$A:$A,ROW()-1)&gt;0,VLOOKUP(ROW()-1,Дела!$A:$C,3,0),"")</f>
        <v/>
      </c>
      <c r="B590" s="11" t="str">
        <f>IF(COUNTIF(Дела!$A:$A,ROW()-1)&gt;0,VLOOKUP(ROW()-1,Дела!$A:$F,6,0),"")</f>
        <v/>
      </c>
      <c r="C590" s="11" t="str">
        <f>IF(COUNTIF(Дела!$A:$A,ROW()-1)&gt;0,VLOOKUP(ROW()-1,Дела!$A:$G,7,0),"")</f>
        <v/>
      </c>
      <c r="D590" s="11" t="str">
        <f>IF(COUNTIF(Дела!$A:$A,ROW()-1)&gt;0,VLOOKUP(ROW()-1,Дела!$A:$I,9,0),"")</f>
        <v/>
      </c>
      <c r="E590" s="11" t="str">
        <f t="shared" si="9"/>
        <v/>
      </c>
      <c r="F590" s="12" t="str">
        <f>IF(COUNTIF(Дела!$A:$A,ROW()-1)&gt;0,VLOOKUP(ROW()-1,Дела!$A:$M,13,0),"")</f>
        <v/>
      </c>
      <c r="G590" s="13" t="str">
        <f>IF(COUNTIF(Дела!$A:$A,ROW()-1)&gt;0,VLOOKUP(ROW()-1,Дела!$A:$N,14,0),"")</f>
        <v/>
      </c>
      <c r="H590" s="11" t="str">
        <f>IF(COUNTIF(Дела!$A:$A,ROW()-1)&gt;0,VLOOKUP(ROW()-1,Дела!$A:$K,11,0),"")</f>
        <v/>
      </c>
    </row>
    <row r="591" spans="1:8" x14ac:dyDescent="0.25">
      <c r="A591" s="11" t="str">
        <f>IF(COUNTIF(Дела!$A:$A,ROW()-1)&gt;0,VLOOKUP(ROW()-1,Дела!$A:$C,3,0),"")</f>
        <v/>
      </c>
      <c r="B591" s="11" t="str">
        <f>IF(COUNTIF(Дела!$A:$A,ROW()-1)&gt;0,VLOOKUP(ROW()-1,Дела!$A:$F,6,0),"")</f>
        <v/>
      </c>
      <c r="C591" s="11" t="str">
        <f>IF(COUNTIF(Дела!$A:$A,ROW()-1)&gt;0,VLOOKUP(ROW()-1,Дела!$A:$G,7,0),"")</f>
        <v/>
      </c>
      <c r="D591" s="11" t="str">
        <f>IF(COUNTIF(Дела!$A:$A,ROW()-1)&gt;0,VLOOKUP(ROW()-1,Дела!$A:$I,9,0),"")</f>
        <v/>
      </c>
      <c r="E591" s="11" t="str">
        <f t="shared" si="9"/>
        <v/>
      </c>
      <c r="F591" s="12" t="str">
        <f>IF(COUNTIF(Дела!$A:$A,ROW()-1)&gt;0,VLOOKUP(ROW()-1,Дела!$A:$M,13,0),"")</f>
        <v/>
      </c>
      <c r="G591" s="13" t="str">
        <f>IF(COUNTIF(Дела!$A:$A,ROW()-1)&gt;0,VLOOKUP(ROW()-1,Дела!$A:$N,14,0),"")</f>
        <v/>
      </c>
      <c r="H591" s="11" t="str">
        <f>IF(COUNTIF(Дела!$A:$A,ROW()-1)&gt;0,VLOOKUP(ROW()-1,Дела!$A:$K,11,0),"")</f>
        <v/>
      </c>
    </row>
    <row r="592" spans="1:8" x14ac:dyDescent="0.25">
      <c r="A592" s="11" t="str">
        <f>IF(COUNTIF(Дела!$A:$A,ROW()-1)&gt;0,VLOOKUP(ROW()-1,Дела!$A:$C,3,0),"")</f>
        <v/>
      </c>
      <c r="B592" s="11" t="str">
        <f>IF(COUNTIF(Дела!$A:$A,ROW()-1)&gt;0,VLOOKUP(ROW()-1,Дела!$A:$F,6,0),"")</f>
        <v/>
      </c>
      <c r="C592" s="11" t="str">
        <f>IF(COUNTIF(Дела!$A:$A,ROW()-1)&gt;0,VLOOKUP(ROW()-1,Дела!$A:$G,7,0),"")</f>
        <v/>
      </c>
      <c r="D592" s="11" t="str">
        <f>IF(COUNTIF(Дела!$A:$A,ROW()-1)&gt;0,VLOOKUP(ROW()-1,Дела!$A:$I,9,0),"")</f>
        <v/>
      </c>
      <c r="E592" s="11" t="str">
        <f t="shared" si="9"/>
        <v/>
      </c>
      <c r="F592" s="12" t="str">
        <f>IF(COUNTIF(Дела!$A:$A,ROW()-1)&gt;0,VLOOKUP(ROW()-1,Дела!$A:$M,13,0),"")</f>
        <v/>
      </c>
      <c r="G592" s="13" t="str">
        <f>IF(COUNTIF(Дела!$A:$A,ROW()-1)&gt;0,VLOOKUP(ROW()-1,Дела!$A:$N,14,0),"")</f>
        <v/>
      </c>
      <c r="H592" s="11" t="str">
        <f>IF(COUNTIF(Дела!$A:$A,ROW()-1)&gt;0,VLOOKUP(ROW()-1,Дела!$A:$K,11,0),"")</f>
        <v/>
      </c>
    </row>
    <row r="593" spans="1:8" x14ac:dyDescent="0.25">
      <c r="A593" s="11" t="str">
        <f>IF(COUNTIF(Дела!$A:$A,ROW()-1)&gt;0,VLOOKUP(ROW()-1,Дела!$A:$C,3,0),"")</f>
        <v/>
      </c>
      <c r="B593" s="11" t="str">
        <f>IF(COUNTIF(Дела!$A:$A,ROW()-1)&gt;0,VLOOKUP(ROW()-1,Дела!$A:$F,6,0),"")</f>
        <v/>
      </c>
      <c r="C593" s="11" t="str">
        <f>IF(COUNTIF(Дела!$A:$A,ROW()-1)&gt;0,VLOOKUP(ROW()-1,Дела!$A:$G,7,0),"")</f>
        <v/>
      </c>
      <c r="D593" s="11" t="str">
        <f>IF(COUNTIF(Дела!$A:$A,ROW()-1)&gt;0,VLOOKUP(ROW()-1,Дела!$A:$I,9,0),"")</f>
        <v/>
      </c>
      <c r="E593" s="11" t="str">
        <f t="shared" si="9"/>
        <v/>
      </c>
      <c r="F593" s="12" t="str">
        <f>IF(COUNTIF(Дела!$A:$A,ROW()-1)&gt;0,VLOOKUP(ROW()-1,Дела!$A:$M,13,0),"")</f>
        <v/>
      </c>
      <c r="G593" s="13" t="str">
        <f>IF(COUNTIF(Дела!$A:$A,ROW()-1)&gt;0,VLOOKUP(ROW()-1,Дела!$A:$N,14,0),"")</f>
        <v/>
      </c>
      <c r="H593" s="11" t="str">
        <f>IF(COUNTIF(Дела!$A:$A,ROW()-1)&gt;0,VLOOKUP(ROW()-1,Дела!$A:$K,11,0),"")</f>
        <v/>
      </c>
    </row>
    <row r="594" spans="1:8" x14ac:dyDescent="0.25">
      <c r="A594" s="11" t="str">
        <f>IF(COUNTIF(Дела!$A:$A,ROW()-1)&gt;0,VLOOKUP(ROW()-1,Дела!$A:$C,3,0),"")</f>
        <v/>
      </c>
      <c r="B594" s="11" t="str">
        <f>IF(COUNTIF(Дела!$A:$A,ROW()-1)&gt;0,VLOOKUP(ROW()-1,Дела!$A:$F,6,0),"")</f>
        <v/>
      </c>
      <c r="C594" s="11" t="str">
        <f>IF(COUNTIF(Дела!$A:$A,ROW()-1)&gt;0,VLOOKUP(ROW()-1,Дела!$A:$G,7,0),"")</f>
        <v/>
      </c>
      <c r="D594" s="11" t="str">
        <f>IF(COUNTIF(Дела!$A:$A,ROW()-1)&gt;0,VLOOKUP(ROW()-1,Дела!$A:$I,9,0),"")</f>
        <v/>
      </c>
      <c r="E594" s="11" t="str">
        <f t="shared" si="9"/>
        <v/>
      </c>
      <c r="F594" s="12" t="str">
        <f>IF(COUNTIF(Дела!$A:$A,ROW()-1)&gt;0,VLOOKUP(ROW()-1,Дела!$A:$M,13,0),"")</f>
        <v/>
      </c>
      <c r="G594" s="13" t="str">
        <f>IF(COUNTIF(Дела!$A:$A,ROW()-1)&gt;0,VLOOKUP(ROW()-1,Дела!$A:$N,14,0),"")</f>
        <v/>
      </c>
      <c r="H594" s="11" t="str">
        <f>IF(COUNTIF(Дела!$A:$A,ROW()-1)&gt;0,VLOOKUP(ROW()-1,Дела!$A:$K,11,0),"")</f>
        <v/>
      </c>
    </row>
    <row r="595" spans="1:8" x14ac:dyDescent="0.25">
      <c r="A595" s="11" t="str">
        <f>IF(COUNTIF(Дела!$A:$A,ROW()-1)&gt;0,VLOOKUP(ROW()-1,Дела!$A:$C,3,0),"")</f>
        <v/>
      </c>
      <c r="B595" s="11" t="str">
        <f>IF(COUNTIF(Дела!$A:$A,ROW()-1)&gt;0,VLOOKUP(ROW()-1,Дела!$A:$F,6,0),"")</f>
        <v/>
      </c>
      <c r="C595" s="11" t="str">
        <f>IF(COUNTIF(Дела!$A:$A,ROW()-1)&gt;0,VLOOKUP(ROW()-1,Дела!$A:$G,7,0),"")</f>
        <v/>
      </c>
      <c r="D595" s="11" t="str">
        <f>IF(COUNTIF(Дела!$A:$A,ROW()-1)&gt;0,VLOOKUP(ROW()-1,Дела!$A:$I,9,0),"")</f>
        <v/>
      </c>
      <c r="E595" s="11" t="str">
        <f t="shared" si="9"/>
        <v/>
      </c>
      <c r="F595" s="12" t="str">
        <f>IF(COUNTIF(Дела!$A:$A,ROW()-1)&gt;0,VLOOKUP(ROW()-1,Дела!$A:$M,13,0),"")</f>
        <v/>
      </c>
      <c r="G595" s="13" t="str">
        <f>IF(COUNTIF(Дела!$A:$A,ROW()-1)&gt;0,VLOOKUP(ROW()-1,Дела!$A:$N,14,0),"")</f>
        <v/>
      </c>
      <c r="H595" s="11" t="str">
        <f>IF(COUNTIF(Дела!$A:$A,ROW()-1)&gt;0,VLOOKUP(ROW()-1,Дела!$A:$K,11,0),"")</f>
        <v/>
      </c>
    </row>
    <row r="596" spans="1:8" x14ac:dyDescent="0.25">
      <c r="A596" s="11" t="str">
        <f>IF(COUNTIF(Дела!$A:$A,ROW()-1)&gt;0,VLOOKUP(ROW()-1,Дела!$A:$C,3,0),"")</f>
        <v/>
      </c>
      <c r="B596" s="11" t="str">
        <f>IF(COUNTIF(Дела!$A:$A,ROW()-1)&gt;0,VLOOKUP(ROW()-1,Дела!$A:$F,6,0),"")</f>
        <v/>
      </c>
      <c r="C596" s="11" t="str">
        <f>IF(COUNTIF(Дела!$A:$A,ROW()-1)&gt;0,VLOOKUP(ROW()-1,Дела!$A:$G,7,0),"")</f>
        <v/>
      </c>
      <c r="D596" s="11" t="str">
        <f>IF(COUNTIF(Дела!$A:$A,ROW()-1)&gt;0,VLOOKUP(ROW()-1,Дела!$A:$I,9,0),"")</f>
        <v/>
      </c>
      <c r="E596" s="11" t="str">
        <f t="shared" si="9"/>
        <v/>
      </c>
      <c r="F596" s="12" t="str">
        <f>IF(COUNTIF(Дела!$A:$A,ROW()-1)&gt;0,VLOOKUP(ROW()-1,Дела!$A:$M,13,0),"")</f>
        <v/>
      </c>
      <c r="G596" s="13" t="str">
        <f>IF(COUNTIF(Дела!$A:$A,ROW()-1)&gt;0,VLOOKUP(ROW()-1,Дела!$A:$N,14,0),"")</f>
        <v/>
      </c>
      <c r="H596" s="11" t="str">
        <f>IF(COUNTIF(Дела!$A:$A,ROW()-1)&gt;0,VLOOKUP(ROW()-1,Дела!$A:$K,11,0),"")</f>
        <v/>
      </c>
    </row>
    <row r="597" spans="1:8" x14ac:dyDescent="0.25">
      <c r="A597" s="11" t="str">
        <f>IF(COUNTIF(Дела!$A:$A,ROW()-1)&gt;0,VLOOKUP(ROW()-1,Дела!$A:$C,3,0),"")</f>
        <v/>
      </c>
      <c r="B597" s="11" t="str">
        <f>IF(COUNTIF(Дела!$A:$A,ROW()-1)&gt;0,VLOOKUP(ROW()-1,Дела!$A:$F,6,0),"")</f>
        <v/>
      </c>
      <c r="C597" s="11" t="str">
        <f>IF(COUNTIF(Дела!$A:$A,ROW()-1)&gt;0,VLOOKUP(ROW()-1,Дела!$A:$G,7,0),"")</f>
        <v/>
      </c>
      <c r="D597" s="11" t="str">
        <f>IF(COUNTIF(Дела!$A:$A,ROW()-1)&gt;0,VLOOKUP(ROW()-1,Дела!$A:$I,9,0),"")</f>
        <v/>
      </c>
      <c r="E597" s="11" t="str">
        <f t="shared" si="9"/>
        <v/>
      </c>
      <c r="F597" s="12" t="str">
        <f>IF(COUNTIF(Дела!$A:$A,ROW()-1)&gt;0,VLOOKUP(ROW()-1,Дела!$A:$M,13,0),"")</f>
        <v/>
      </c>
      <c r="G597" s="13" t="str">
        <f>IF(COUNTIF(Дела!$A:$A,ROW()-1)&gt;0,VLOOKUP(ROW()-1,Дела!$A:$N,14,0),"")</f>
        <v/>
      </c>
      <c r="H597" s="11" t="str">
        <f>IF(COUNTIF(Дела!$A:$A,ROW()-1)&gt;0,VLOOKUP(ROW()-1,Дела!$A:$K,11,0),"")</f>
        <v/>
      </c>
    </row>
    <row r="598" spans="1:8" x14ac:dyDescent="0.25">
      <c r="A598" s="11" t="str">
        <f>IF(COUNTIF(Дела!$A:$A,ROW()-1)&gt;0,VLOOKUP(ROW()-1,Дела!$A:$C,3,0),"")</f>
        <v/>
      </c>
      <c r="B598" s="11" t="str">
        <f>IF(COUNTIF(Дела!$A:$A,ROW()-1)&gt;0,VLOOKUP(ROW()-1,Дела!$A:$F,6,0),"")</f>
        <v/>
      </c>
      <c r="C598" s="11" t="str">
        <f>IF(COUNTIF(Дела!$A:$A,ROW()-1)&gt;0,VLOOKUP(ROW()-1,Дела!$A:$G,7,0),"")</f>
        <v/>
      </c>
      <c r="D598" s="11" t="str">
        <f>IF(COUNTIF(Дела!$A:$A,ROW()-1)&gt;0,VLOOKUP(ROW()-1,Дела!$A:$I,9,0),"")</f>
        <v/>
      </c>
      <c r="E598" s="11" t="str">
        <f t="shared" si="9"/>
        <v/>
      </c>
      <c r="F598" s="12" t="str">
        <f>IF(COUNTIF(Дела!$A:$A,ROW()-1)&gt;0,VLOOKUP(ROW()-1,Дела!$A:$M,13,0),"")</f>
        <v/>
      </c>
      <c r="G598" s="13" t="str">
        <f>IF(COUNTIF(Дела!$A:$A,ROW()-1)&gt;0,VLOOKUP(ROW()-1,Дела!$A:$N,14,0),"")</f>
        <v/>
      </c>
      <c r="H598" s="11" t="str">
        <f>IF(COUNTIF(Дела!$A:$A,ROW()-1)&gt;0,VLOOKUP(ROW()-1,Дела!$A:$K,11,0),"")</f>
        <v/>
      </c>
    </row>
    <row r="599" spans="1:8" x14ac:dyDescent="0.25">
      <c r="A599" s="11" t="str">
        <f>IF(COUNTIF(Дела!$A:$A,ROW()-1)&gt;0,VLOOKUP(ROW()-1,Дела!$A:$C,3,0),"")</f>
        <v/>
      </c>
      <c r="B599" s="11" t="str">
        <f>IF(COUNTIF(Дела!$A:$A,ROW()-1)&gt;0,VLOOKUP(ROW()-1,Дела!$A:$F,6,0),"")</f>
        <v/>
      </c>
      <c r="C599" s="11" t="str">
        <f>IF(COUNTIF(Дела!$A:$A,ROW()-1)&gt;0,VLOOKUP(ROW()-1,Дела!$A:$G,7,0),"")</f>
        <v/>
      </c>
      <c r="D599" s="11" t="str">
        <f>IF(COUNTIF(Дела!$A:$A,ROW()-1)&gt;0,VLOOKUP(ROW()-1,Дела!$A:$I,9,0),"")</f>
        <v/>
      </c>
      <c r="E599" s="11" t="str">
        <f t="shared" si="9"/>
        <v/>
      </c>
      <c r="F599" s="12" t="str">
        <f>IF(COUNTIF(Дела!$A:$A,ROW()-1)&gt;0,VLOOKUP(ROW()-1,Дела!$A:$M,13,0),"")</f>
        <v/>
      </c>
      <c r="G599" s="13" t="str">
        <f>IF(COUNTIF(Дела!$A:$A,ROW()-1)&gt;0,VLOOKUP(ROW()-1,Дела!$A:$N,14,0),"")</f>
        <v/>
      </c>
      <c r="H599" s="11" t="str">
        <f>IF(COUNTIF(Дела!$A:$A,ROW()-1)&gt;0,VLOOKUP(ROW()-1,Дела!$A:$K,11,0),"")</f>
        <v/>
      </c>
    </row>
    <row r="600" spans="1:8" x14ac:dyDescent="0.25">
      <c r="A600" s="11" t="str">
        <f>IF(COUNTIF(Дела!$A:$A,ROW()-1)&gt;0,VLOOKUP(ROW()-1,Дела!$A:$C,3,0),"")</f>
        <v/>
      </c>
      <c r="B600" s="11" t="str">
        <f>IF(COUNTIF(Дела!$A:$A,ROW()-1)&gt;0,VLOOKUP(ROW()-1,Дела!$A:$F,6,0),"")</f>
        <v/>
      </c>
      <c r="C600" s="11" t="str">
        <f>IF(COUNTIF(Дела!$A:$A,ROW()-1)&gt;0,VLOOKUP(ROW()-1,Дела!$A:$G,7,0),"")</f>
        <v/>
      </c>
      <c r="D600" s="11" t="str">
        <f>IF(COUNTIF(Дела!$A:$A,ROW()-1)&gt;0,VLOOKUP(ROW()-1,Дела!$A:$I,9,0),"")</f>
        <v/>
      </c>
      <c r="E600" s="11" t="str">
        <f t="shared" si="9"/>
        <v/>
      </c>
      <c r="F600" s="12" t="str">
        <f>IF(COUNTIF(Дела!$A:$A,ROW()-1)&gt;0,VLOOKUP(ROW()-1,Дела!$A:$M,13,0),"")</f>
        <v/>
      </c>
      <c r="G600" s="13" t="str">
        <f>IF(COUNTIF(Дела!$A:$A,ROW()-1)&gt;0,VLOOKUP(ROW()-1,Дела!$A:$N,14,0),"")</f>
        <v/>
      </c>
      <c r="H600" s="11" t="str">
        <f>IF(COUNTIF(Дела!$A:$A,ROW()-1)&gt;0,VLOOKUP(ROW()-1,Дела!$A:$K,11,0),"")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Дела</vt:lpstr>
      <vt:lpstr>Рассылка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2024-02-23T07:28:50Z</dcterms:modified>
</cp:coreProperties>
</file>